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320"/>
  </bookViews>
  <sheets>
    <sheet name="项目资源人天及成本表-制度版本【导入模板202309更" sheetId="1" r:id="rId1"/>
  </sheets>
  <definedNames>
    <definedName name="_1Excel_BuiltIn__FilterDatabase_1_1_1">#REF!</definedName>
    <definedName name="Excel_BuiltIn__FilterDatabase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<sst xmlns="http://schemas.openxmlformats.org/spreadsheetml/2006/main" count="50" uniqueCount="44">
  <si>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项目角色</t>
  </si>
  <si>
    <t>人员类型</t>
  </si>
  <si>
    <t>所属组织</t>
  </si>
  <si>
    <t>姓名</t>
  </si>
  <si>
    <t>顾问级别</t>
  </si>
  <si>
    <t>交付产品</t>
  </si>
  <si>
    <t>负责模块或任务</t>
  </si>
  <si>
    <t>标准成本（人天单价）</t>
  </si>
  <si>
    <t>预计投入人天</t>
  </si>
  <si>
    <t>预计人天成本</t>
  </si>
  <si>
    <t>交通费</t>
  </si>
  <si>
    <t>住宿费</t>
  </si>
  <si>
    <t>出差补贴</t>
  </si>
  <si>
    <t>预计差旅费合计</t>
  </si>
  <si>
    <t>项目分期及项目阶段（启动,需求,方案,构建,测试,上线,验收,运维）</t>
  </si>
  <si>
    <t>次数</t>
  </si>
  <si>
    <t>单价</t>
  </si>
  <si>
    <t>天数</t>
  </si>
  <si>
    <t>标准</t>
  </si>
  <si>
    <t>2025年4月人天投入</t>
  </si>
  <si>
    <t>2025年5月人天投入</t>
  </si>
  <si>
    <t>2025年6月人天投入</t>
  </si>
  <si>
    <t>2025年7月人天投入</t>
  </si>
  <si>
    <t>2025年8月人天投入</t>
  </si>
  <si>
    <t>2025年9月人天投入</t>
  </si>
  <si>
    <t>2025年10月人天投入</t>
  </si>
  <si>
    <t>项目经理</t>
  </si>
  <si>
    <t>员工</t>
  </si>
  <si>
    <t>广州分公司</t>
  </si>
  <si>
    <t>2-1</t>
  </si>
  <si>
    <t>金蝶云星空实施</t>
  </si>
  <si>
    <t>项目管理+方案输出</t>
  </si>
  <si>
    <t>实施顾问</t>
  </si>
  <si>
    <t>模块实施与配置</t>
  </si>
  <si>
    <t>各项合计</t>
  </si>
  <si>
    <t>预计其他交付费用</t>
  </si>
  <si>
    <t>预计大项目基金</t>
  </si>
  <si>
    <t>总计</t>
  </si>
  <si>
    <t>说明：</t>
  </si>
  <si>
    <r>
      <rPr>
        <sz val="10"/>
        <rFont val="微软雅黑"/>
        <charset val="134"/>
      </rPr>
      <t>1、该表格可作为系统报价单中交付成本部分的导入表，</t>
    </r>
    <r>
      <rPr>
        <b/>
        <sz val="10"/>
        <color rgb="FFFF0000"/>
        <rFont val="微软雅黑"/>
        <charset val="134"/>
      </rPr>
      <t>红色字体表头</t>
    </r>
    <r>
      <rPr>
        <sz val="10"/>
        <color rgb="FFFF0000"/>
        <rFont val="微软雅黑"/>
        <charset val="134"/>
      </rPr>
      <t>为系统导入识别字段，表头位置请勿更改，否则系统将无法识别</t>
    </r>
    <r>
      <rPr>
        <sz val="10"/>
        <rFont val="微软雅黑"/>
        <charset val="134"/>
      </rPr>
      <t>。</t>
    </r>
  </si>
  <si>
    <t>2、内部顾问、外包伙伴均需要列示人天及成本，人天需按月进行拆分。</t>
  </si>
  <si>
    <t>3、交通费次数：base地与项目地之间往返计算为1次，包括机票、火车票、出租车票。</t>
  </si>
  <si>
    <t>4、住宿费与出差补贴的天数不能超过预计投入人天数。</t>
  </si>
  <si>
    <t>5、预计大项目基金：（合同金额-外包成本）≥1000万的项目，按（合同金额-外包成本）×0.5%计提团建费用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</si>
</sst>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0"/>
      <color rgb="FF00B0F0"/>
      <name val="微软雅黑"/>
      <charset val="134"/>
    </font>
    <font>
      <b/>
      <sz val="10"/>
      <name val="微软雅黑"/>
      <charset val="134"/>
    </font>
    <font>
      <b/>
      <sz val="11"/>
      <color theme="1"/>
      <name val="微软雅黑"/>
      <charset val="134"/>
    </font>
    <font>
      <sz val="10"/>
      <color theme="0" tint="-0.0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49" applyFont="1">
      <alignment vertical="center"/>
    </xf>
    <xf numFmtId="0" fontId="2" fillId="0" borderId="0" xfId="49" applyFont="1" applyAlignment="1">
      <alignment vertical="center" wrapText="1"/>
    </xf>
    <xf numFmtId="0" fontId="2" fillId="0" borderId="0" xfId="49" applyFont="1">
      <alignment vertical="center"/>
    </xf>
    <xf numFmtId="49" fontId="2" fillId="0" borderId="0" xfId="49" applyNumberFormat="1" applyFont="1">
      <alignment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>
      <alignment vertical="center"/>
    </xf>
    <xf numFmtId="0" fontId="3" fillId="2" borderId="0" xfId="49" applyFont="1" applyFill="1">
      <alignment vertical="center"/>
    </xf>
    <xf numFmtId="0" fontId="3" fillId="2" borderId="0" xfId="49" applyFont="1" applyFill="1" applyAlignment="1">
      <alignment horizontal="left" vertical="center" wrapText="1"/>
    </xf>
    <xf numFmtId="0" fontId="3" fillId="0" borderId="0" xfId="49" applyFont="1">
      <alignment vertical="center"/>
    </xf>
    <xf numFmtId="0" fontId="5" fillId="0" borderId="0" xfId="49" applyFont="1">
      <alignment vertical="center"/>
    </xf>
    <xf numFmtId="0" fontId="5" fillId="0" borderId="0" xfId="50" applyFont="1" applyAlignment="1">
      <alignment horizontal="left" vertical="center"/>
    </xf>
    <xf numFmtId="0" fontId="6" fillId="0" borderId="0" xfId="49" applyFont="1">
      <alignment vertical="center"/>
    </xf>
    <xf numFmtId="49" fontId="4" fillId="0" borderId="1" xfId="49" applyNumberFormat="1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49" fontId="2" fillId="0" borderId="1" xfId="49" applyNumberFormat="1" applyFont="1" applyBorder="1">
      <alignment vertical="center"/>
    </xf>
    <xf numFmtId="0" fontId="3" fillId="2" borderId="2" xfId="49" applyFont="1" applyFill="1" applyBorder="1" applyAlignment="1">
      <alignment horizontal="center" vertical="center"/>
    </xf>
    <xf numFmtId="0" fontId="3" fillId="2" borderId="3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  <xf numFmtId="0" fontId="8" fillId="3" borderId="2" xfId="49" applyFont="1" applyFill="1" applyBorder="1" applyAlignment="1">
      <alignment horizontal="center" vertical="center"/>
    </xf>
    <xf numFmtId="0" fontId="8" fillId="3" borderId="4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 wrapText="1"/>
    </xf>
    <xf numFmtId="0" fontId="8" fillId="3" borderId="3" xfId="49" applyFont="1" applyFill="1" applyBorder="1" applyAlignment="1">
      <alignment horizontal="center" vertical="center"/>
    </xf>
    <xf numFmtId="0" fontId="9" fillId="0" borderId="0" xfId="49" applyFont="1" applyAlignment="1">
      <alignment vertical="center" wrapText="1"/>
    </xf>
    <xf numFmtId="0" fontId="9" fillId="0" borderId="0" xfId="49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629285</xdr:colOff>
      <xdr:row>12</xdr:row>
      <xdr:rowOff>0</xdr:rowOff>
    </xdr:from>
    <xdr:to>
      <xdr:col>16</xdr:col>
      <xdr:colOff>153035</xdr:colOff>
      <xdr:row>19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87140" y="2476500"/>
          <a:ext cx="7300595" cy="1410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tabSelected="1" zoomScale="96" zoomScaleNormal="96" workbookViewId="0">
      <selection activeCell="W8" sqref="W8"/>
    </sheetView>
  </sheetViews>
  <sheetFormatPr defaultColWidth="9" defaultRowHeight="15.2"/>
  <cols>
    <col min="1" max="1" width="15.3303571428571" style="3" customWidth="1"/>
    <col min="2" max="2" width="8.57142857142857" style="3" customWidth="1"/>
    <col min="3" max="3" width="10" style="3" customWidth="1"/>
    <col min="4" max="4" width="10.5" style="3" customWidth="1"/>
    <col min="5" max="5" width="9.16071428571429" style="4" customWidth="1"/>
    <col min="6" max="6" width="14.7142857142857" style="3" customWidth="1"/>
    <col min="7" max="7" width="18" style="3" customWidth="1"/>
    <col min="8" max="8" width="11.8303571428571" style="3" customWidth="1"/>
    <col min="9" max="9" width="10" style="3" customWidth="1"/>
    <col min="10" max="10" width="7.66071428571429" style="3" customWidth="1"/>
    <col min="11" max="16" width="6.33035714285714" style="3" customWidth="1"/>
    <col min="17" max="17" width="8.98214285714286" style="3" customWidth="1"/>
    <col min="18" max="24" width="13.6607142857143" style="3" customWidth="1"/>
    <col min="25" max="16384" width="9" style="3"/>
  </cols>
  <sheetData>
    <row r="1" s="1" customFormat="1" ht="13.5" customHeight="1" spans="1:24">
      <c r="A1" s="5" t="s">
        <v>0</v>
      </c>
      <c r="B1" s="6" t="s">
        <v>1</v>
      </c>
      <c r="C1" s="6" t="s">
        <v>2</v>
      </c>
      <c r="D1" s="5" t="s">
        <v>3</v>
      </c>
      <c r="E1" s="15" t="s">
        <v>4</v>
      </c>
      <c r="F1" s="6" t="s">
        <v>5</v>
      </c>
      <c r="G1" s="16" t="s">
        <v>6</v>
      </c>
      <c r="H1" s="6" t="s">
        <v>7</v>
      </c>
      <c r="I1" s="6" t="s">
        <v>8</v>
      </c>
      <c r="J1" s="6" t="s">
        <v>9</v>
      </c>
      <c r="K1" s="18" t="s">
        <v>10</v>
      </c>
      <c r="L1" s="19"/>
      <c r="M1" s="18" t="s">
        <v>11</v>
      </c>
      <c r="N1" s="19"/>
      <c r="O1" s="18" t="s">
        <v>12</v>
      </c>
      <c r="P1" s="19"/>
      <c r="Q1" s="21" t="s">
        <v>13</v>
      </c>
      <c r="R1" s="22" t="s">
        <v>14</v>
      </c>
      <c r="S1" s="23"/>
      <c r="T1" s="23"/>
      <c r="U1" s="23"/>
      <c r="V1" s="23"/>
      <c r="W1" s="23"/>
      <c r="X1" s="25"/>
    </row>
    <row r="2" s="2" customFormat="1" ht="29.5" customHeight="1" spans="1:25">
      <c r="A2" s="5"/>
      <c r="B2" s="6"/>
      <c r="C2" s="6"/>
      <c r="D2" s="5"/>
      <c r="E2" s="15"/>
      <c r="F2" s="6"/>
      <c r="G2" s="16"/>
      <c r="H2" s="6"/>
      <c r="I2" s="6"/>
      <c r="J2" s="6"/>
      <c r="K2" s="20" t="s">
        <v>15</v>
      </c>
      <c r="L2" s="20" t="s">
        <v>16</v>
      </c>
      <c r="M2" s="20" t="s">
        <v>17</v>
      </c>
      <c r="N2" s="20" t="s">
        <v>18</v>
      </c>
      <c r="O2" s="20" t="s">
        <v>17</v>
      </c>
      <c r="P2" s="20" t="s">
        <v>18</v>
      </c>
      <c r="Q2" s="21"/>
      <c r="R2" s="24" t="s">
        <v>19</v>
      </c>
      <c r="S2" s="24" t="s">
        <v>20</v>
      </c>
      <c r="T2" s="24" t="s">
        <v>21</v>
      </c>
      <c r="U2" s="24" t="s">
        <v>22</v>
      </c>
      <c r="V2" s="24" t="s">
        <v>23</v>
      </c>
      <c r="W2" s="24" t="s">
        <v>24</v>
      </c>
      <c r="X2" s="24" t="s">
        <v>25</v>
      </c>
      <c r="Y2" s="26"/>
    </row>
    <row r="3" spans="1:25">
      <c r="A3" s="7" t="s">
        <v>26</v>
      </c>
      <c r="B3" s="8" t="s">
        <v>27</v>
      </c>
      <c r="C3" s="8" t="s">
        <v>28</v>
      </c>
      <c r="D3" s="8"/>
      <c r="E3" s="17" t="s">
        <v>29</v>
      </c>
      <c r="F3" s="8" t="s">
        <v>30</v>
      </c>
      <c r="G3" s="8" t="s">
        <v>31</v>
      </c>
      <c r="H3" s="8">
        <v>1390</v>
      </c>
      <c r="I3" s="8">
        <v>55</v>
      </c>
      <c r="J3" s="8">
        <f>H3*I3</f>
        <v>76450</v>
      </c>
      <c r="K3" s="8"/>
      <c r="L3" s="8"/>
      <c r="M3" s="8"/>
      <c r="N3" s="8"/>
      <c r="O3" s="8"/>
      <c r="P3" s="8"/>
      <c r="Q3" s="8"/>
      <c r="R3" s="8">
        <v>5</v>
      </c>
      <c r="S3" s="8">
        <v>10</v>
      </c>
      <c r="T3" s="8">
        <v>10</v>
      </c>
      <c r="U3" s="8">
        <v>10</v>
      </c>
      <c r="V3" s="8">
        <v>10</v>
      </c>
      <c r="W3" s="8">
        <v>5</v>
      </c>
      <c r="X3" s="8">
        <v>5</v>
      </c>
      <c r="Y3" s="27">
        <f>SUM(R3:X3)</f>
        <v>55</v>
      </c>
    </row>
    <row r="4" spans="1:25">
      <c r="A4" s="7" t="s">
        <v>32</v>
      </c>
      <c r="B4" s="8" t="s">
        <v>27</v>
      </c>
      <c r="C4" s="8" t="s">
        <v>28</v>
      </c>
      <c r="D4" s="8"/>
      <c r="E4" s="17" t="s">
        <v>29</v>
      </c>
      <c r="F4" s="8" t="s">
        <v>30</v>
      </c>
      <c r="G4" s="8" t="s">
        <v>33</v>
      </c>
      <c r="H4" s="8">
        <v>1390</v>
      </c>
      <c r="I4" s="8">
        <v>75</v>
      </c>
      <c r="J4" s="8">
        <f>H4*I4</f>
        <v>104250</v>
      </c>
      <c r="K4" s="8"/>
      <c r="L4" s="8"/>
      <c r="M4" s="8"/>
      <c r="N4" s="8"/>
      <c r="O4" s="8"/>
      <c r="P4" s="8"/>
      <c r="Q4" s="8"/>
      <c r="R4" s="8">
        <v>10</v>
      </c>
      <c r="S4" s="8">
        <v>15</v>
      </c>
      <c r="T4" s="8">
        <v>10</v>
      </c>
      <c r="U4" s="8">
        <v>10</v>
      </c>
      <c r="V4" s="8">
        <v>10</v>
      </c>
      <c r="W4" s="8">
        <v>10</v>
      </c>
      <c r="X4" s="8">
        <v>10</v>
      </c>
      <c r="Y4" s="27">
        <f>SUM(R4:X4)</f>
        <v>75</v>
      </c>
    </row>
    <row r="5" spans="1:25">
      <c r="A5" s="7"/>
      <c r="B5" s="8"/>
      <c r="C5" s="8"/>
      <c r="D5" s="8"/>
      <c r="E5" s="1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27"/>
    </row>
    <row r="6" spans="1:25">
      <c r="A6" s="7"/>
      <c r="B6" s="8"/>
      <c r="C6" s="8"/>
      <c r="D6" s="8"/>
      <c r="E6" s="1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27"/>
    </row>
    <row r="7" spans="1:24">
      <c r="A7" s="7"/>
      <c r="B7" s="8"/>
      <c r="C7" s="8"/>
      <c r="D7" s="8"/>
      <c r="E7" s="1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>
      <c r="A8" s="7"/>
      <c r="B8" s="8"/>
      <c r="C8" s="8"/>
      <c r="D8" s="8"/>
      <c r="E8" s="1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>
      <c r="A9" s="7"/>
      <c r="B9" s="8"/>
      <c r="C9" s="8"/>
      <c r="D9" s="8"/>
      <c r="E9" s="1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>
      <c r="A10" s="7"/>
      <c r="B10" s="8"/>
      <c r="C10" s="8"/>
      <c r="D10" s="8"/>
      <c r="E10" s="1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>
      <c r="A11" s="7"/>
      <c r="B11" s="8"/>
      <c r="C11" s="8"/>
      <c r="D11" s="8"/>
      <c r="E11" s="1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17">
      <c r="A12" s="3" t="s">
        <v>34</v>
      </c>
      <c r="I12" s="3">
        <f>SUM(I3:I4)</f>
        <v>130</v>
      </c>
      <c r="J12" s="3">
        <f>SUM(J3:J11)</f>
        <v>180700</v>
      </c>
      <c r="Q12" s="3">
        <f>SUM(Q3:Q11)</f>
        <v>0</v>
      </c>
    </row>
    <row r="14" spans="1:18">
      <c r="A14" s="9" t="s">
        <v>35</v>
      </c>
      <c r="R14" s="12"/>
    </row>
    <row r="15" ht="16" spans="1:1">
      <c r="A15" s="10" t="s">
        <v>36</v>
      </c>
    </row>
    <row r="16" spans="1:2">
      <c r="A16" s="11" t="s">
        <v>37</v>
      </c>
      <c r="B16" s="3">
        <f>J12+Q12+B14+B15</f>
        <v>180700</v>
      </c>
    </row>
    <row r="17" spans="1:1">
      <c r="A17" s="11"/>
    </row>
    <row r="19" spans="1:1">
      <c r="A19" s="12" t="s">
        <v>38</v>
      </c>
    </row>
    <row r="20" ht="16" spans="1:1">
      <c r="A20" s="12" t="s">
        <v>39</v>
      </c>
    </row>
    <row r="21" spans="1:1">
      <c r="A21" s="13" t="s">
        <v>40</v>
      </c>
    </row>
    <row r="22" spans="1:1">
      <c r="A22" s="12" t="s">
        <v>41</v>
      </c>
    </row>
    <row r="23" spans="1:1">
      <c r="A23" s="12" t="s">
        <v>42</v>
      </c>
    </row>
    <row r="24" spans="1:1">
      <c r="A24" s="12" t="s">
        <v>43</v>
      </c>
    </row>
    <row r="27" spans="1:1">
      <c r="A27" s="14"/>
    </row>
    <row r="28" spans="1:1">
      <c r="A28" s="14"/>
    </row>
    <row r="29" spans="1:1">
      <c r="A29" s="14"/>
    </row>
    <row r="30" spans="1:1">
      <c r="A30" s="14"/>
    </row>
  </sheetData>
  <mergeCells count="15">
    <mergeCell ref="K1:L1"/>
    <mergeCell ref="M1:N1"/>
    <mergeCell ref="O1:P1"/>
    <mergeCell ref="R1: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Q1:Q2"/>
  </mergeCells>
  <dataValidations count="4">
    <dataValidation type="custom" allowBlank="1" showInputMessage="1" showErrorMessage="1" sqref="M1 M3:M11">
      <formula1>M1&lt;=I1</formula1>
    </dataValidation>
    <dataValidation type="custom" allowBlank="1" showInputMessage="1" showErrorMessage="1" sqref="O1 O3:O1048576">
      <formula1>O1&lt;=I1</formula1>
    </dataValidation>
    <dataValidation type="list" allowBlank="1" showInputMessage="1" showErrorMessage="1" sqref="A3:A11 A82:A1048576">
      <formula1>"项目经理,实施顾问,架构师,开发顾问,咨询顾问,部署工程师"</formula1>
    </dataValidation>
    <dataValidation type="list" allowBlank="1" showInputMessage="1" showErrorMessage="1" sqref="B3:B11">
      <formula1>"员工,伙伴"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项目资源人天及成本表-制度版本【导入模板202309更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mjlkevin</dc:creator>
  <cp:lastModifiedBy>MJLKevin</cp:lastModifiedBy>
  <dcterms:created xsi:type="dcterms:W3CDTF">2025-04-02T10:37:00Z</dcterms:created>
  <dcterms:modified xsi:type="dcterms:W3CDTF">2026-03-25T23:47:48Z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E9166E43C091CFBC5E51EB676A8B6CA4_41</vt:lpwstr>
  </property>
  <property fmtid="{D5CDD505-2E9C-101B-9397-08002B2CF9AE}" pid="3" name="KSOProductBuildVer">
    <vt:lpwstr>2052-6.11.0.8885</vt:lpwstr>
  </property>
</Properties>
</file>