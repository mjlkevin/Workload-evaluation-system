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60" windowHeight="12320"/>
  </bookViews>
  <sheets>
    <sheet name="3开发人天估算" sheetId="1" r:id="rId1"/>
  </sheets>
  <externalReferences>
    <externalReference r:id="rId2"/>
  </externalReferences>
  <definedNames>
    <definedName name="_1Excel_BuiltIn__FilterDatabase_1_1_1">#REF!</definedName>
    <definedName name="Excel_BuiltIn__FilterDatabase_1_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/>
</file>

<file path=xl/comments1.xml><?xml version="1.0" encoding="utf-8"?>
<comments xmlns="http://schemas.openxmlformats.org/spreadsheetml/2006/main">
  <authors>
    <author>总部PMO</author>
  </authors>
  <commentList>
    <comment ref="D1" authorId="0">
      <text>
        <r>
          <rPr>
            <b/>
            <sz val="9"/>
            <rFont val="宋体"/>
            <charset val="134"/>
          </rPr>
          <t>客户化开发模块必填</t>
        </r>
      </text>
    </comment>
    <comment ref="E1" authorId="0">
      <text>
        <r>
          <rPr>
            <b/>
            <sz val="9"/>
            <rFont val="宋体"/>
            <charset val="134"/>
          </rPr>
          <t>客户化开发模块必填</t>
        </r>
      </text>
    </comment>
  </commentList>
</comments>
</file>

<file path=xl/sharedStrings.xml><?xml version="1.0" encoding="utf-8"?>
<sst xmlns="http://schemas.openxmlformats.org/spreadsheetml/2006/main" count="39" uniqueCount="34">
  <si>
    <t>序号</t>
  </si>
  <si>
    <t>业务领域</t>
  </si>
  <si>
    <t>模块名称</t>
  </si>
  <si>
    <t>模块简述</t>
  </si>
  <si>
    <t>功能说明（必填）</t>
  </si>
  <si>
    <t>开发类型</t>
  </si>
  <si>
    <t>估算依据（描述）</t>
  </si>
  <si>
    <t>编码人天
(基准)</t>
  </si>
  <si>
    <t>需求规划（20%）</t>
  </si>
  <si>
    <t>功能测试（40%）</t>
  </si>
  <si>
    <t>合计</t>
  </si>
  <si>
    <t>字段说明</t>
  </si>
  <si>
    <t>序号，自然数递增</t>
  </si>
  <si>
    <t>选择项，关联实施评估中的SKU</t>
  </si>
  <si>
    <t>文本</t>
  </si>
  <si>
    <t>下拉：功能开发、报表开发、集成开发</t>
  </si>
  <si>
    <t>数值，必须大于0</t>
  </si>
  <si>
    <t>按公式自动计算：编码人天*0.2</t>
  </si>
  <si>
    <t>按公式自动计算：编码人天*0.4</t>
  </si>
  <si>
    <t>汇总：编码人天+需求规划+功能测试</t>
  </si>
  <si>
    <t>滚动生产计划</t>
  </si>
  <si>
    <t>多选工单批量修改工单BOM</t>
  </si>
  <si>
    <t>用户在生产线计划平台选中工单执行【批量指定BOM】操作，插件：
1、校验选中工单的【计划状态】时是否为【计划确认】或【计划】（先保存，保存后更新为计划确认）；选中工单的【BOM】一致
2、满足条件1，插件弹出交互框，允许用户维护BOM（单选基础资料字段，按当前选中工单的物料编码过滤BOMF7)
3、弹窗交互，用户确认；
4、将选中工单的BOM批量赋值；5、弹窗交互，显示批改结果，用户确认；</t>
  </si>
  <si>
    <t>功能开发</t>
  </si>
  <si>
    <t>重复生产管理</t>
  </si>
  <si>
    <t>产成品调拨申请单下推调拨单时，触发下推重复生产领料单（包辅材）</t>
  </si>
  <si>
    <t>数据准备：1、标记BOM中需要在调拨时触发领料的包辅材子项（扩展复选框字段）；
1、根据调拨申请单的物料明细，遍历单据体获取物料编码；
2、根据物料编码查询生产线表中对应的物料明细首行的BOM编码；
3、根据BOM编码检索BOM子项中被标识行对应的子项物料编码；
4、根据调拨申请单调拨数量，结合子项物料编码标准用量，计算子项物料用量
5、回填重复生产领料单单据体：物料编码、数量、单位…</t>
  </si>
  <si>
    <t>滚动销售管理</t>
  </si>
  <si>
    <t xml:space="preserve"> 【滚动发货通知】、【销售出库单】中关联销售订单号，通过二开插件记录反写【销售订单】信息</t>
  </si>
  <si>
    <t>1、标准的【销售订单分录F7】需扩展出销售订单号；
2、【滚动发货通知】单据体中扩展基础资料【销售订单分录F7】，允许用户选择关联的销售订单分录；
3、【滚动发货通知】审核后，需将关联的发货通知数量反写销售订单；
4、【滚动发货通知】下推【销售出库单】审核后，需将关联的出库数量反写销售订单；
5、逆向的反审核场景也需要考虑；</t>
  </si>
  <si>
    <t>总合计（自动汇总L列值）</t>
  </si>
  <si>
    <t>评估人：（文本）</t>
  </si>
  <si>
    <t>林宏果</t>
  </si>
  <si>
    <t>评估时间：（保存时更新保存日期）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</si>
</sst>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</numFmts>
  <fonts count="32">
    <font>
      <sz val="12"/>
      <name val="宋体"/>
      <charset val="134"/>
    </font>
    <font>
      <b/>
      <sz val="10"/>
      <color indexed="8"/>
      <name val="微软雅黑"/>
      <charset val="134"/>
    </font>
    <font>
      <sz val="9"/>
      <color theme="1"/>
      <name val="微软雅黑"/>
      <charset val="134"/>
    </font>
    <font>
      <sz val="11"/>
      <color theme="1"/>
      <name val="微软雅黑"/>
      <charset val="134"/>
    </font>
    <font>
      <b/>
      <sz val="11"/>
      <color theme="1"/>
      <name val="微软雅黑"/>
      <charset val="134"/>
    </font>
    <font>
      <b/>
      <sz val="10"/>
      <name val="微软雅黑"/>
      <charset val="134"/>
    </font>
    <font>
      <b/>
      <sz val="10"/>
      <color theme="1"/>
      <name val="微软雅黑"/>
      <charset val="134"/>
    </font>
    <font>
      <sz val="11"/>
      <color rgb="FFFF0000"/>
      <name val="微软雅黑"/>
      <charset val="134"/>
    </font>
    <font>
      <sz val="10"/>
      <color rgb="FFFF0000"/>
      <name val="微软雅黑"/>
      <charset val="134"/>
    </font>
    <font>
      <sz val="9"/>
      <color rgb="FF000000"/>
      <name val="微软雅黑"/>
      <charset val="134"/>
    </font>
    <font>
      <b/>
      <sz val="9"/>
      <color theme="1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</fonts>
  <fills count="40">
    <fill>
      <patternFill patternType="none"/>
    </fill>
    <fill>
      <patternFill patternType="gray125"/>
    </fill>
    <fill>
      <patternFill patternType="solid">
        <fgColor theme="4" tint="0.79995117038483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51170384838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9" borderId="4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10" borderId="7" applyNumberFormat="0" applyAlignment="0" applyProtection="0">
      <alignment vertical="center"/>
    </xf>
    <xf numFmtId="0" fontId="21" fillId="11" borderId="8" applyNumberFormat="0" applyAlignment="0" applyProtection="0">
      <alignment vertical="center"/>
    </xf>
    <xf numFmtId="0" fontId="22" fillId="11" borderId="7" applyNumberFormat="0" applyAlignment="0" applyProtection="0">
      <alignment vertical="center"/>
    </xf>
    <xf numFmtId="0" fontId="23" fillId="12" borderId="9" applyNumberFormat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0" fillId="0" borderId="0">
      <alignment vertical="center"/>
    </xf>
  </cellStyleXfs>
  <cellXfs count="36">
    <xf numFmtId="0" fontId="0" fillId="0" borderId="0" xfId="0">
      <alignment vertical="center"/>
    </xf>
    <xf numFmtId="0" fontId="1" fillId="0" borderId="0" xfId="0" applyFont="1" applyAlignment="1" applyProtection="1">
      <alignment horizontal="center" vertical="center"/>
      <protection locked="0"/>
    </xf>
    <xf numFmtId="0" fontId="2" fillId="0" borderId="0" xfId="0" applyFont="1" applyProtection="1">
      <alignment vertical="center"/>
      <protection locked="0"/>
    </xf>
    <xf numFmtId="0" fontId="2" fillId="0" borderId="0" xfId="49" applyFont="1" applyProtection="1">
      <alignment vertical="center"/>
      <protection locked="0"/>
    </xf>
    <xf numFmtId="0" fontId="3" fillId="0" borderId="0" xfId="50" applyFont="1" applyProtection="1">
      <alignment vertical="center"/>
      <protection locked="0"/>
    </xf>
    <xf numFmtId="0" fontId="4" fillId="0" borderId="0" xfId="50" applyFont="1" applyProtection="1">
      <alignment vertical="center"/>
      <protection locked="0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 applyProtection="1">
      <alignment horizontal="center" vertical="center" wrapText="1"/>
      <protection locked="0"/>
    </xf>
    <xf numFmtId="0" fontId="2" fillId="3" borderId="3" xfId="0" applyFont="1" applyFill="1" applyBorder="1" applyAlignment="1" applyProtection="1">
      <alignment horizontal="left" vertical="center" wrapText="1"/>
      <protection locked="0"/>
    </xf>
    <xf numFmtId="0" fontId="2" fillId="0" borderId="3" xfId="0" applyFont="1" applyBorder="1" applyAlignment="1" applyProtection="1">
      <alignment horizontal="center" vertical="center" wrapText="1"/>
      <protection locked="0"/>
    </xf>
    <xf numFmtId="0" fontId="2" fillId="0" borderId="3" xfId="0" applyFont="1" applyBorder="1" applyAlignment="1" applyProtection="1">
      <alignment horizontal="left" vertical="center" wrapText="1"/>
      <protection locked="0"/>
    </xf>
    <xf numFmtId="0" fontId="7" fillId="0" borderId="0" xfId="50" applyFont="1" applyProtection="1">
      <alignment vertical="center"/>
      <protection locked="0"/>
    </xf>
    <xf numFmtId="0" fontId="8" fillId="0" borderId="0" xfId="51" applyFont="1" applyAlignment="1" applyProtection="1">
      <alignment horizontal="left" vertical="center"/>
      <protection locked="0"/>
    </xf>
    <xf numFmtId="0" fontId="2" fillId="0" borderId="0" xfId="49" applyFont="1" applyAlignment="1" applyProtection="1">
      <alignment horizontal="center" vertical="center"/>
      <protection locked="0"/>
    </xf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/>
    </xf>
    <xf numFmtId="0" fontId="9" fillId="3" borderId="3" xfId="0" applyFont="1" applyFill="1" applyBorder="1" applyAlignment="1" applyProtection="1">
      <alignment vertical="center" wrapText="1"/>
      <protection locked="0"/>
    </xf>
    <xf numFmtId="0" fontId="2" fillId="0" borderId="3" xfId="0" applyFont="1" applyBorder="1" applyAlignment="1" applyProtection="1">
      <alignment vertical="center" wrapText="1"/>
      <protection locked="0"/>
    </xf>
    <xf numFmtId="0" fontId="9" fillId="0" borderId="3" xfId="0" applyFont="1" applyBorder="1" applyAlignment="1" applyProtection="1">
      <alignment vertical="center" wrapText="1"/>
      <protection locked="0"/>
    </xf>
    <xf numFmtId="0" fontId="5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176" fontId="2" fillId="0" borderId="3" xfId="0" applyNumberFormat="1" applyFont="1" applyBorder="1" applyProtection="1">
      <alignment vertical="center"/>
      <protection locked="0"/>
    </xf>
    <xf numFmtId="176" fontId="2" fillId="6" borderId="3" xfId="0" applyNumberFormat="1" applyFont="1" applyFill="1" applyBorder="1" applyAlignment="1">
      <alignment vertical="center" wrapText="1"/>
    </xf>
    <xf numFmtId="176" fontId="2" fillId="6" borderId="3" xfId="0" applyNumberFormat="1" applyFont="1" applyFill="1" applyBorder="1">
      <alignment vertical="center"/>
    </xf>
    <xf numFmtId="176" fontId="10" fillId="7" borderId="3" xfId="0" applyNumberFormat="1" applyFont="1" applyFill="1" applyBorder="1">
      <alignment vertical="center"/>
    </xf>
    <xf numFmtId="0" fontId="3" fillId="8" borderId="0" xfId="50" applyFont="1" applyFill="1" applyProtection="1">
      <alignment vertical="center"/>
      <protection locked="0"/>
    </xf>
    <xf numFmtId="0" fontId="6" fillId="8" borderId="0" xfId="50" applyFont="1" applyFill="1" applyProtection="1">
      <alignment vertical="center"/>
      <protection locked="0"/>
    </xf>
    <xf numFmtId="0" fontId="5" fillId="0" borderId="0" xfId="52" applyFont="1" applyAlignment="1" applyProtection="1">
      <alignment horizontal="left" vertical="center"/>
      <protection locked="0"/>
    </xf>
    <xf numFmtId="14" fontId="5" fillId="0" borderId="0" xfId="52" applyNumberFormat="1" applyFont="1" applyAlignment="1" applyProtection="1">
      <alignment horizontal="left" vertical="center"/>
      <protection locked="0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6" xfId="50"/>
    <cellStyle name="常规 2 3 2 2" xfId="51"/>
    <cellStyle name="常规 5" xf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www.wps.cn/officeDocument/2020/cellImage" Target="cellimag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jlkevin/Desktop/Kingdee/01-&#20132;&#20184;/0101-&#20132;&#20184;&#39033;&#30446;/0101-2&#36827;&#34892;&#20013;/&#30355;&#21513;&#36798;/0-&#39033;&#30446;&#31649;&#29702;/0-4%20&#39033;&#30446;&#21464;&#26356;/202603-&#31246;&#21153;&#20113;&#12289;&#36164;&#37329;&#35745;&#21010;&#32622;&#25442;/2601&#22686;&#34917;&#24320;&#21457;/&#12304;&#30355;&#21513;&#36798;&#12305;2601&#24320;&#21457;&#20154;&#22825;&#20272;&#31639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0 实施人天汇总 "/>
      <sheetName val="3开发人天估算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image" Target="../media/image2.png"/><Relationship Id="rId3" Type="http://schemas.openxmlformats.org/officeDocument/2006/relationships/vmlDrawing" Target="../drawings/vmlDrawing2.vml"/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P21"/>
  <sheetViews>
    <sheetView tabSelected="1" topLeftCell="F2" workbookViewId="0">
      <selection activeCell="L4" sqref="L4"/>
    </sheetView>
  </sheetViews>
  <sheetFormatPr defaultColWidth="8.83035714285714" defaultRowHeight="16.8"/>
  <cols>
    <col min="1" max="1" width="8.83035714285714" style="4"/>
    <col min="2" max="2" width="4.46428571428571" style="4" customWidth="1"/>
    <col min="3" max="3" width="10.7142857142857" style="4" customWidth="1"/>
    <col min="4" max="4" width="27.8303571428571" style="4" customWidth="1"/>
    <col min="5" max="5" width="10.6607142857143" style="4" customWidth="1"/>
    <col min="6" max="6" width="69.7589285714286" style="4" customWidth="1"/>
    <col min="7" max="7" width="10.6607142857143" style="4" customWidth="1"/>
    <col min="8" max="8" width="23.9464285714286" style="4" customWidth="1"/>
    <col min="9" max="11" width="10.6607142857143" style="4" customWidth="1"/>
    <col min="12" max="12" width="12.6517857142857" style="5" customWidth="1"/>
    <col min="13" max="16384" width="8.83035714285714" style="4"/>
  </cols>
  <sheetData>
    <row r="1" s="1" customFormat="1" ht="30" customHeight="1" spans="2:12">
      <c r="B1" s="6" t="s">
        <v>0</v>
      </c>
      <c r="C1" s="6" t="s">
        <v>1</v>
      </c>
      <c r="D1" s="7" t="s">
        <v>2</v>
      </c>
      <c r="E1" s="7" t="s">
        <v>3</v>
      </c>
      <c r="F1" s="6" t="s">
        <v>4</v>
      </c>
      <c r="G1" s="17" t="s">
        <v>5</v>
      </c>
      <c r="H1" s="18" t="s">
        <v>6</v>
      </c>
      <c r="I1" s="24" t="s">
        <v>7</v>
      </c>
      <c r="J1" s="24" t="s">
        <v>8</v>
      </c>
      <c r="K1" s="24" t="s">
        <v>9</v>
      </c>
      <c r="L1" s="25" t="s">
        <v>10</v>
      </c>
    </row>
    <row r="2" s="1" customFormat="1" ht="30" customHeight="1" spans="1:12">
      <c r="A2" s="8" t="s">
        <v>11</v>
      </c>
      <c r="B2" s="8" t="s">
        <v>12</v>
      </c>
      <c r="C2" s="8" t="s">
        <v>13</v>
      </c>
      <c r="D2" s="9" t="s">
        <v>14</v>
      </c>
      <c r="E2" s="9" t="s">
        <v>14</v>
      </c>
      <c r="F2" s="8" t="s">
        <v>14</v>
      </c>
      <c r="G2" s="19" t="s">
        <v>15</v>
      </c>
      <c r="H2" s="20" t="s">
        <v>14</v>
      </c>
      <c r="I2" s="26" t="s">
        <v>16</v>
      </c>
      <c r="J2" s="26" t="s">
        <v>17</v>
      </c>
      <c r="K2" s="26" t="s">
        <v>18</v>
      </c>
      <c r="L2" s="27" t="s">
        <v>19</v>
      </c>
    </row>
    <row r="3" s="2" customFormat="1" ht="96" spans="2:12">
      <c r="B3" s="10">
        <v>1</v>
      </c>
      <c r="C3" s="11" t="s">
        <v>20</v>
      </c>
      <c r="D3" s="11" t="s">
        <v>21</v>
      </c>
      <c r="E3" s="21"/>
      <c r="F3" s="21" t="s">
        <v>22</v>
      </c>
      <c r="G3" s="13" t="s">
        <v>23</v>
      </c>
      <c r="H3" s="22"/>
      <c r="I3" s="28">
        <v>3</v>
      </c>
      <c r="J3" s="29">
        <f>I3*0.2</f>
        <v>0.6</v>
      </c>
      <c r="K3" s="30">
        <f>I3*0.4</f>
        <v>1.2</v>
      </c>
      <c r="L3" s="31">
        <f>SUM(I3:K3)</f>
        <v>4.8</v>
      </c>
    </row>
    <row r="4" s="2" customFormat="1" ht="110.6" spans="2:12">
      <c r="B4" s="10">
        <f>ROW()-1</f>
        <v>3</v>
      </c>
      <c r="C4" s="11" t="s">
        <v>24</v>
      </c>
      <c r="D4" s="11" t="s">
        <v>25</v>
      </c>
      <c r="E4" s="21"/>
      <c r="F4" s="21" t="s">
        <v>26</v>
      </c>
      <c r="G4" s="13" t="s">
        <v>23</v>
      </c>
      <c r="H4" s="22"/>
      <c r="I4" s="28">
        <v>4</v>
      </c>
      <c r="J4" s="29">
        <f>I4*0.2</f>
        <v>0.8</v>
      </c>
      <c r="K4" s="30">
        <f>I4*0.4</f>
        <v>1.6</v>
      </c>
      <c r="L4" s="31">
        <f>SUM(I4:K4)</f>
        <v>6.4</v>
      </c>
    </row>
    <row r="5" s="2" customFormat="1" ht="114" customHeight="1" spans="2:12">
      <c r="B5" s="12">
        <f>ROW()-1</f>
        <v>4</v>
      </c>
      <c r="C5" s="13" t="s">
        <v>27</v>
      </c>
      <c r="D5" s="13" t="s">
        <v>28</v>
      </c>
      <c r="E5" s="23"/>
      <c r="F5" s="23" t="s">
        <v>29</v>
      </c>
      <c r="G5" s="13" t="s">
        <v>23</v>
      </c>
      <c r="H5" s="22"/>
      <c r="I5" s="28">
        <v>2</v>
      </c>
      <c r="J5" s="29">
        <f>I5*0.2</f>
        <v>0.4</v>
      </c>
      <c r="K5" s="30">
        <f>I5*0.4</f>
        <v>0.8</v>
      </c>
      <c r="L5" s="31">
        <f>SUM(I5:K5)</f>
        <v>3.2</v>
      </c>
    </row>
    <row r="6" ht="23.25" customHeight="1"/>
    <row r="7" ht="23.25" customHeight="1" spans="11:12">
      <c r="K7" s="32" t="s">
        <v>30</v>
      </c>
      <c r="L7" s="33">
        <f>SUM(L3:L6)</f>
        <v>14.4</v>
      </c>
    </row>
    <row r="8" ht="23.25" customHeight="1" spans="11:12">
      <c r="K8" s="4" t="s">
        <v>31</v>
      </c>
      <c r="L8" s="34" t="s">
        <v>32</v>
      </c>
    </row>
    <row r="9" ht="23.25" customHeight="1" spans="2:12">
      <c r="B9" s="14"/>
      <c r="K9" s="4" t="s">
        <v>33</v>
      </c>
      <c r="L9" s="35">
        <v>46048</v>
      </c>
    </row>
    <row r="10" s="3" customFormat="1" ht="17" customHeight="1" spans="2:16">
      <c r="B10" s="15"/>
      <c r="D10" s="16"/>
      <c r="F10" s="16"/>
      <c r="G10" s="16"/>
      <c r="M10" s="16"/>
      <c r="N10" s="16"/>
      <c r="O10" s="16"/>
      <c r="P10" s="16"/>
    </row>
    <row r="11" ht="23.25" customHeight="1"/>
    <row r="12" ht="23.25" customHeight="1"/>
    <row r="13" ht="23.25" customHeight="1"/>
    <row r="14" ht="23.25" customHeight="1"/>
    <row r="15" ht="23.25" customHeight="1"/>
    <row r="16" ht="23.25" customHeight="1"/>
    <row r="17" ht="23.25" customHeight="1"/>
    <row r="18" ht="23.25" customHeight="1"/>
    <row r="19" ht="23.25" customHeight="1"/>
    <row r="20" ht="23.25" customHeight="1"/>
    <row r="21" ht="23.25" customHeight="1"/>
  </sheetData>
  <sheetProtection formatCells="0" formatColumns="0" formatRows="0" insertRows="0" insertColumns="0" insertHyperlinks="0" deleteColumns="0" deleteRows="0" sort="0" autoFilter="0" pivotTables="0"/>
  <dataValidations count="1">
    <dataValidation type="list" allowBlank="1" showInputMessage="1" showErrorMessage="1" sqref="G3:G5 G6:G1048576">
      <formula1>"业务单据,基础资料,报表开发,系统集成,功能开发,其他类型"</formula1>
    </dataValidation>
  </dataValidations>
  <pageMargins left="0.708661417322835" right="0.708661417322835" top="0.748031496062992" bottom="0.748031496062992" header="0.31496062992126" footer="0.31496062992126"/>
  <pageSetup paperSize="9" orientation="portrait" horizontalDpi="1200" verticalDpi="1200"/>
  <headerFooter>
    <oddHeader>&amp;L&amp;G&amp;R③秘密信息 严禁泄露</oddHeader>
    <oddFooter>&amp;C第 &amp;P 页，共 &amp;N 页</oddFooter>
  </headerFooter>
  <legacyDrawing r:id="rId2"/>
  <legacyDrawingHF r:id="rId3"/>
  <picture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3开发人天估算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mjlkevin</dc:creator>
  <cp:lastModifiedBy>MJLKevin</cp:lastModifiedBy>
  <dcterms:created xsi:type="dcterms:W3CDTF">2026-03-28T18:52:43Z</dcterms:created>
  <dcterms:modified xsi:type="dcterms:W3CDTF">2026-03-28T18:57:14Z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E96DD902FE7ACB90FBB2C7691ABB2DE1_41</vt:lpwstr>
  </property>
  <property fmtid="{D5CDD505-2E9C-101B-9397-08002B2CF9AE}" pid="3" name="KSOProductBuildVer">
    <vt:lpwstr>2052-6.11.0.8885</vt:lpwstr>
  </property>
</Properties>
</file>