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320"/>
  </bookViews>
  <sheets>
    <sheet name="2多组织推广估算" sheetId="1" r:id="rId1"/>
  </sheets>
  <externalReferences>
    <externalReference r:id="rId3"/>
  </externalReferences>
  <definedNames>
    <definedName name="_1Excel_BuiltIn__FilterDatabase_1_1_1">#REF!</definedName>
    <definedName name="Excel_BuiltIn__FilterDatabase_1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kingdee</author>
  </authors>
  <commentList>
    <comment ref="M3" authorId="0">
      <text>
        <r>
          <rPr>
            <b/>
            <sz val="9"/>
            <rFont val="宋体"/>
            <charset val="134"/>
          </rPr>
          <t>kingdee:</t>
        </r>
        <r>
          <rPr>
            <sz val="9"/>
            <rFont val="宋体"/>
            <charset val="134"/>
          </rPr>
          <t xml:space="preserve">
1、星空产品外其他系统推广对应增加的标准实施人天；
2、制造云、PLM云、MES云、全渠道云等个性化比较强的项目手动输入评估人天；</t>
        </r>
      </text>
    </comment>
    <comment ref="O3" authorId="0">
      <text>
        <r>
          <rPr>
            <b/>
            <sz val="9"/>
            <rFont val="宋体"/>
            <charset val="134"/>
          </rPr>
          <t>kingdee:</t>
        </r>
        <r>
          <rPr>
            <sz val="9"/>
            <rFont val="宋体"/>
            <charset val="134"/>
          </rPr>
          <t xml:space="preserve">
1、10%以下一般为财务或原班操作用户的上线指导组织；
2、30%以下一般为财务、供应链推广组织，业务差异很小；
3、50%以下一般为制造业务推广，产品或业务存在一些差异；
4、100%与主站实施组织业务完全不一样，跨行业的组织；
</t>
        </r>
      </text>
    </comment>
  </commentList>
</comments>
</file>

<file path=xl/sharedStrings.xml><?xml version="1.0" encoding="utf-8"?>
<sst xmlns="http://schemas.openxmlformats.org/spreadsheetml/2006/main" count="37" uniqueCount="37">
  <si>
    <t>基本信息</t>
  </si>
  <si>
    <t>交付范围</t>
  </si>
  <si>
    <t>推广人天估算</t>
  </si>
  <si>
    <t>序号</t>
  </si>
  <si>
    <t>组织名称</t>
  </si>
  <si>
    <t>组织形态</t>
  </si>
  <si>
    <t>实施地点</t>
  </si>
  <si>
    <t>交付策略</t>
  </si>
  <si>
    <t>用户数量</t>
  </si>
  <si>
    <t>财务云</t>
  </si>
  <si>
    <t>供应链云</t>
  </si>
  <si>
    <t>制造云</t>
  </si>
  <si>
    <t>PLM云</t>
  </si>
  <si>
    <t>MES云</t>
  </si>
  <si>
    <t>全渠道云</t>
  </si>
  <si>
    <t>其他业务</t>
  </si>
  <si>
    <t>标准人天</t>
  </si>
  <si>
    <t>难度系数</t>
  </si>
  <si>
    <t>人天估算</t>
  </si>
  <si>
    <t>备注</t>
  </si>
  <si>
    <t>集团公司A</t>
  </si>
  <si>
    <t>总公司</t>
  </si>
  <si>
    <t>广州</t>
  </si>
  <si>
    <t>主站实施</t>
  </si>
  <si>
    <t>√</t>
  </si>
  <si>
    <t>说明：</t>
  </si>
  <si>
    <t>推广人天合计：</t>
  </si>
  <si>
    <t>1、表头和M3、O3单元格被保护，方便保存计算公式，取消保护密码：cloud888；</t>
  </si>
  <si>
    <t>2、交付策略：包含主站实施、逐个推广、集中推广、远程支持，其中主站实施已在主站实施测算评估，不占用推广人天；</t>
  </si>
  <si>
    <t>3、实施地点：异地组织根据距离实施人天成本会增加，建议在“难度系数”上浮10%-20%实施人天；</t>
  </si>
  <si>
    <t>4、用户数量：当前公司专业用户数量，不包含全员应用用户数量；</t>
  </si>
  <si>
    <t>5、交付范围：区分财务云、供应链云、制造云、PLM云、MES云、全渠道云，关联统计客户已购买模块的标准实施人天；</t>
  </si>
  <si>
    <t>6、其他业务：为星空产品外其他系统推广增加的标准实施人天，或制造云、PLM云、MES云、全渠道云、餐饮等个性化比较强的项目单独输入评估人天；</t>
  </si>
  <si>
    <t>7、标准人天：根据交付范围，统计客户已购买模块的标准实施人天；</t>
  </si>
  <si>
    <t>8、难度系数：根据交付策略、实施地点、用户数量、交付范围，综合评估，特殊场景需在备注里面描述；</t>
  </si>
  <si>
    <t>9、人天估算：标准人天*难度系数；</t>
  </si>
  <si>
    <t>10、推广人天合计：各公司人天估算合计并向下取整数；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</si>
</sst>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9">
    <font>
      <sz val="12"/>
      <name val="宋体"/>
      <charset val="134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0"/>
      <color rgb="FFFF0000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49" applyFont="1" applyProtection="1">
      <alignment vertical="center"/>
      <protection locked="0"/>
    </xf>
    <xf numFmtId="0" fontId="2" fillId="0" borderId="0" xfId="49" applyFont="1" applyAlignment="1" applyProtection="1">
      <alignment horizontal="center" vertical="center"/>
      <protection locked="0"/>
    </xf>
    <xf numFmtId="0" fontId="2" fillId="0" borderId="0" xfId="49" applyFont="1" applyProtection="1">
      <alignment vertical="center"/>
      <protection locked="0"/>
    </xf>
    <xf numFmtId="0" fontId="1" fillId="2" borderId="1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/>
    </xf>
    <xf numFmtId="0" fontId="2" fillId="0" borderId="3" xfId="49" applyFont="1" applyBorder="1" applyAlignment="1" applyProtection="1">
      <alignment horizontal="center" vertical="center" wrapText="1"/>
      <protection locked="0"/>
    </xf>
    <xf numFmtId="0" fontId="3" fillId="3" borderId="3" xfId="49" applyFont="1" applyFill="1" applyBorder="1" applyProtection="1">
      <alignment vertical="center"/>
      <protection locked="0"/>
    </xf>
    <xf numFmtId="0" fontId="2" fillId="0" borderId="3" xfId="49" applyFont="1" applyBorder="1" applyAlignment="1" applyProtection="1">
      <alignment horizontal="center" vertical="center"/>
      <protection locked="0"/>
    </xf>
    <xf numFmtId="0" fontId="2" fillId="0" borderId="0" xfId="49" applyFont="1" applyAlignment="1" applyProtection="1">
      <alignment horizontal="center" vertical="center" wrapText="1"/>
      <protection locked="0"/>
    </xf>
    <xf numFmtId="0" fontId="4" fillId="0" borderId="0" xfId="50" applyFont="1" applyAlignment="1" applyProtection="1">
      <alignment horizontal="left" vertical="center"/>
      <protection locked="0"/>
    </xf>
    <xf numFmtId="0" fontId="4" fillId="0" borderId="0" xfId="49" applyFont="1" applyProtection="1">
      <alignment vertical="center"/>
      <protection locked="0"/>
    </xf>
    <xf numFmtId="0" fontId="1" fillId="2" borderId="4" xfId="49" applyFont="1" applyFill="1" applyBorder="1" applyAlignment="1">
      <alignment horizontal="center" vertical="center"/>
    </xf>
    <xf numFmtId="0" fontId="1" fillId="4" borderId="4" xfId="49" applyFont="1" applyFill="1" applyBorder="1" applyAlignment="1">
      <alignment horizontal="center" vertical="center"/>
    </xf>
    <xf numFmtId="0" fontId="1" fillId="4" borderId="3" xfId="49" applyFont="1" applyFill="1" applyBorder="1" applyAlignment="1">
      <alignment horizontal="center" vertical="center"/>
    </xf>
    <xf numFmtId="0" fontId="1" fillId="4" borderId="5" xfId="49" applyFont="1" applyFill="1" applyBorder="1" applyAlignment="1">
      <alignment horizontal="center" vertical="center"/>
    </xf>
    <xf numFmtId="0" fontId="1" fillId="4" borderId="6" xfId="49" applyFont="1" applyFill="1" applyBorder="1" applyAlignment="1">
      <alignment horizontal="center" vertical="center"/>
    </xf>
    <xf numFmtId="0" fontId="1" fillId="5" borderId="3" xfId="49" applyFont="1" applyFill="1" applyBorder="1" applyAlignment="1">
      <alignment horizontal="center" vertical="center"/>
    </xf>
    <xf numFmtId="0" fontId="1" fillId="5" borderId="7" xfId="49" applyFont="1" applyFill="1" applyBorder="1" applyAlignment="1">
      <alignment horizontal="center" vertical="center"/>
    </xf>
    <xf numFmtId="176" fontId="2" fillId="0" borderId="3" xfId="49" applyNumberFormat="1" applyFont="1" applyBorder="1" applyAlignment="1" applyProtection="1">
      <alignment horizontal="right" vertical="center"/>
      <protection locked="0"/>
    </xf>
    <xf numFmtId="176" fontId="2" fillId="6" borderId="3" xfId="49" applyNumberFormat="1" applyFont="1" applyFill="1" applyBorder="1" applyAlignment="1">
      <alignment horizontal="right" vertical="center"/>
    </xf>
    <xf numFmtId="9" fontId="2" fillId="0" borderId="3" xfId="3" applyFont="1" applyBorder="1" applyAlignment="1" applyProtection="1">
      <alignment horizontal="right" vertical="center"/>
      <protection locked="0"/>
    </xf>
    <xf numFmtId="176" fontId="5" fillId="6" borderId="3" xfId="49" applyNumberFormat="1" applyFont="1" applyFill="1" applyBorder="1" applyAlignment="1">
      <alignment horizontal="right" vertical="center"/>
    </xf>
    <xf numFmtId="176" fontId="5" fillId="6" borderId="3" xfId="49" applyNumberFormat="1" applyFont="1" applyFill="1" applyBorder="1" applyAlignment="1" applyProtection="1">
      <alignment horizontal="right" vertical="center"/>
      <protection locked="0"/>
    </xf>
    <xf numFmtId="0" fontId="6" fillId="0" borderId="0" xfId="49" applyFont="1" applyAlignment="1" applyProtection="1">
      <alignment horizontal="center" vertical="center"/>
      <protection locked="0"/>
    </xf>
    <xf numFmtId="0" fontId="2" fillId="7" borderId="0" xfId="49" applyFont="1" applyFill="1" applyAlignment="1" applyProtection="1">
      <alignment horizontal="center" vertical="center"/>
      <protection locked="0"/>
    </xf>
    <xf numFmtId="0" fontId="1" fillId="7" borderId="0" xfId="49" applyFont="1" applyFill="1" applyAlignment="1" applyProtection="1">
      <alignment horizontal="right" vertical="center"/>
      <protection locked="0"/>
    </xf>
    <xf numFmtId="176" fontId="1" fillId="7" borderId="0" xfId="49" applyNumberFormat="1" applyFont="1" applyFill="1" applyAlignment="1" applyProtection="1">
      <alignment horizontal="right" vertical="center"/>
      <protection locked="0"/>
    </xf>
    <xf numFmtId="0" fontId="2" fillId="0" borderId="3" xfId="49" applyFont="1" applyBorder="1" applyAlignment="1" applyProtection="1">
      <alignment horizontal="left" vertical="center" wrapText="1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 2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jlkevin/Library/Mobile%20Documents/com~apple~CloudDocs/Kingdee-cloud/00-&#21806;&#21069;&#39033;&#30446;/001-&#21806;&#21069;&#39033;&#30446;/GF2025-&#24191;&#24030;&#26102;&#26131;&#20013;PLM&#39033;&#30446;/&#26102;&#26131;&#20013;-&#37329;&#34678;&#20113;&#26143;&#31354;&#20225;&#19994;&#29256;&#35780;&#20272;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 实施人天汇总 "/>
      <sheetName val="主站测算V9.0"/>
      <sheetName val="项目资源人天及成本表-制度版本【导入模板202309更"/>
      <sheetName val="2多组织推广估算"/>
      <sheetName val="3开发人天估算"/>
      <sheetName val="数据有效源表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E15" sqref="E15"/>
    </sheetView>
  </sheetViews>
  <sheetFormatPr defaultColWidth="7.83035714285714" defaultRowHeight="17" customHeight="1"/>
  <cols>
    <col min="1" max="1" width="6.66071428571429" style="2" customWidth="1"/>
    <col min="2" max="2" width="17.4017857142857" style="3" customWidth="1"/>
    <col min="3" max="3" width="10.6607142857143" style="2" customWidth="1"/>
    <col min="4" max="4" width="10.6607142857143" style="3" customWidth="1"/>
    <col min="5" max="6" width="10.6607142857143" style="2" customWidth="1"/>
    <col min="7" max="13" width="8.66071428571429" style="3" customWidth="1"/>
    <col min="14" max="16" width="8.66071428571429" style="2" customWidth="1"/>
    <col min="17" max="17" width="21.3303571428571" style="2" customWidth="1"/>
    <col min="18" max="16384" width="7.83035714285714" style="3"/>
  </cols>
  <sheetData>
    <row r="1" ht="23.25" customHeight="1" spans="1:17">
      <c r="A1" s="4" t="s">
        <v>0</v>
      </c>
      <c r="B1" s="5"/>
      <c r="C1" s="5"/>
      <c r="D1" s="5"/>
      <c r="E1" s="5"/>
      <c r="F1" s="14"/>
      <c r="G1" s="15" t="s">
        <v>1</v>
      </c>
      <c r="H1" s="16"/>
      <c r="I1" s="16"/>
      <c r="J1" s="16"/>
      <c r="K1" s="16"/>
      <c r="L1" s="16"/>
      <c r="M1" s="16"/>
      <c r="N1" s="19" t="s">
        <v>2</v>
      </c>
      <c r="O1" s="19"/>
      <c r="P1" s="19"/>
      <c r="Q1" s="19"/>
    </row>
    <row r="2" s="1" customFormat="1" ht="23.25" customHeight="1" spans="1:17">
      <c r="A2" s="6" t="s">
        <v>3</v>
      </c>
      <c r="B2" s="6" t="s">
        <v>4</v>
      </c>
      <c r="C2" s="6" t="s">
        <v>5</v>
      </c>
      <c r="D2" s="7" t="s">
        <v>6</v>
      </c>
      <c r="E2" s="7" t="s">
        <v>7</v>
      </c>
      <c r="F2" s="6" t="s">
        <v>8</v>
      </c>
      <c r="G2" s="17" t="s">
        <v>9</v>
      </c>
      <c r="H2" s="18" t="s">
        <v>10</v>
      </c>
      <c r="I2" s="18" t="s">
        <v>11</v>
      </c>
      <c r="J2" s="18" t="s">
        <v>12</v>
      </c>
      <c r="K2" s="18" t="s">
        <v>13</v>
      </c>
      <c r="L2" s="18" t="s">
        <v>14</v>
      </c>
      <c r="M2" s="18" t="s">
        <v>15</v>
      </c>
      <c r="N2" s="20" t="s">
        <v>16</v>
      </c>
      <c r="O2" s="20" t="s">
        <v>17</v>
      </c>
      <c r="P2" s="20" t="s">
        <v>18</v>
      </c>
      <c r="Q2" s="20" t="s">
        <v>19</v>
      </c>
    </row>
    <row r="3" ht="23.25" customHeight="1" spans="1:17">
      <c r="A3" s="8">
        <f t="shared" ref="A3:A12" si="0">ROW()-2</f>
        <v>1</v>
      </c>
      <c r="B3" s="9" t="s">
        <v>20</v>
      </c>
      <c r="C3" s="8" t="s">
        <v>21</v>
      </c>
      <c r="D3" s="10" t="s">
        <v>22</v>
      </c>
      <c r="E3" s="10" t="s">
        <v>23</v>
      </c>
      <c r="F3" s="8">
        <v>50</v>
      </c>
      <c r="G3" s="10"/>
      <c r="H3" s="10"/>
      <c r="I3" s="10"/>
      <c r="J3" s="10" t="s">
        <v>24</v>
      </c>
      <c r="K3" s="10"/>
      <c r="L3" s="10"/>
      <c r="M3" s="21">
        <v>0</v>
      </c>
      <c r="N3" s="22" t="e">
        <f>IF($B3&lt;&gt;0,IF($E3="主站实施",SUM(#REF!,$M3),SUM(IF($G3&lt;&gt;0,SUM(#REF!,#REF!,#REF!),0),IF($H3&lt;&gt;0,SUM(#REF!,#REF!,#REF!,#REF!,#REF!),0),IF($I3&lt;&gt;0,SUM(#REF!,#REF!,#REF!),0),IF($J3&lt;&gt;0,SUM(#REF!,#REF!,#REF!),0),IF($K3&lt;&gt;0,SUM(#REF!,#REF!),0),IF($L3&lt;&gt;0,SUM(#REF!,#REF!,#REF!,#REF!,#REF!,#REF!,#REF!,#REF!),0),$M3)),0)</f>
        <v>#REF!</v>
      </c>
      <c r="O3" s="23">
        <v>1</v>
      </c>
      <c r="P3" s="24">
        <f t="shared" ref="P3:P12" si="1">IF($E3="主站实施",0,$N3*O3)</f>
        <v>0</v>
      </c>
      <c r="Q3" s="30"/>
    </row>
    <row r="4" ht="23.25" customHeight="1" spans="1:17">
      <c r="A4" s="8">
        <f t="shared" si="0"/>
        <v>2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21"/>
      <c r="N4" s="22">
        <f>IF($B4&lt;&gt;0,IF($E4="主站实施",SUM(#REF!,$M4),SUM(IF($G4&lt;&gt;0,SUM(#REF!,#REF!,#REF!),0),IF($H4&lt;&gt;0,SUM(#REF!,#REF!,#REF!,#REF!,#REF!),0),IF($I4&lt;&gt;0,SUM(#REF!,#REF!,#REF!),0),IF($J4&lt;&gt;0,SUM(#REF!,#REF!,#REF!),0),IF($K4&lt;&gt;0,SUM(#REF!,#REF!),0),IF($L4&lt;&gt;0,SUM(#REF!,#REF!,#REF!,#REF!,#REF!,#REF!,#REF!,#REF!),0),$M4)),0)</f>
        <v>0</v>
      </c>
      <c r="O4" s="23">
        <v>0.5</v>
      </c>
      <c r="P4" s="25">
        <f t="shared" si="1"/>
        <v>0</v>
      </c>
      <c r="Q4" s="30"/>
    </row>
    <row r="5" ht="23.25" customHeight="1" spans="1:17">
      <c r="A5" s="8">
        <f t="shared" si="0"/>
        <v>3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21"/>
      <c r="N5" s="22">
        <f>IF($B5&lt;&gt;0,IF($E5="主站实施",SUM(#REF!,$M5),SUM(IF($G5&lt;&gt;0,SUM(#REF!,#REF!,#REF!),0),IF($H5&lt;&gt;0,SUM(#REF!,#REF!,#REF!,#REF!,#REF!),0),IF($I5&lt;&gt;0,SUM(#REF!,#REF!,#REF!),0),IF($J5&lt;&gt;0,SUM(#REF!,#REF!,#REF!),0),IF($K5&lt;&gt;0,SUM(#REF!,#REF!),0),IF($M5&lt;&gt;0,SUM(#REF!,#REF!,#REF!,#REF!,#REF!,#REF!,#REF!,#REF!),0),$M5)),0)</f>
        <v>0</v>
      </c>
      <c r="O5" s="23">
        <v>0.3</v>
      </c>
      <c r="P5" s="25">
        <f t="shared" si="1"/>
        <v>0</v>
      </c>
      <c r="Q5" s="30"/>
    </row>
    <row r="6" ht="23.25" customHeight="1" spans="1:17">
      <c r="A6" s="8">
        <f t="shared" si="0"/>
        <v>4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21"/>
      <c r="N6" s="22">
        <f>IF($B6&lt;&gt;0,IF($E6="主站实施",SUM(#REF!,$M6),SUM(IF($G6&lt;&gt;0,SUM(#REF!,#REF!,#REF!),0),IF($H6&lt;&gt;0,SUM(#REF!,#REF!,#REF!,#REF!,#REF!),0),IF($I6&lt;&gt;0,SUM(#REF!,#REF!,#REF!),0),IF($J6&lt;&gt;0,SUM(#REF!,#REF!,#REF!),0),IF($K6&lt;&gt;0,SUM(#REF!,#REF!),0),IF($M6&lt;&gt;0,SUM(#REF!,#REF!,#REF!,#REF!,#REF!,#REF!,#REF!,#REF!),0),$M6)),0)</f>
        <v>0</v>
      </c>
      <c r="O6" s="23">
        <v>0.1</v>
      </c>
      <c r="P6" s="25">
        <f t="shared" si="1"/>
        <v>0</v>
      </c>
      <c r="Q6" s="30"/>
    </row>
    <row r="7" ht="23.25" customHeight="1" spans="1:17">
      <c r="A7" s="8">
        <f t="shared" si="0"/>
        <v>5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21"/>
      <c r="N7" s="22">
        <f>IF($B7&lt;&gt;0,IF($E7="主站实施",SUM(#REF!,$M7),SUM(IF($G7&lt;&gt;0,SUM(#REF!,#REF!,#REF!),0),IF($H7&lt;&gt;0,SUM(#REF!,#REF!,#REF!,#REF!,#REF!),0),IF($I7&lt;&gt;0,SUM(#REF!,#REF!,#REF!),0),IF($J7&lt;&gt;0,SUM(#REF!,#REF!,#REF!),0),IF($K7&lt;&gt;0,SUM(#REF!,#REF!),0),IF($M7&lt;&gt;0,SUM(#REF!,#REF!,#REF!,#REF!,#REF!,#REF!,#REF!,#REF!),0),$M7)),0)</f>
        <v>0</v>
      </c>
      <c r="O7" s="23"/>
      <c r="P7" s="25">
        <f t="shared" si="1"/>
        <v>0</v>
      </c>
      <c r="Q7" s="30"/>
    </row>
    <row r="8" ht="23.25" customHeight="1" spans="1:17">
      <c r="A8" s="8">
        <f t="shared" si="0"/>
        <v>6</v>
      </c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21"/>
      <c r="N8" s="22">
        <f>IF($B8&lt;&gt;0,IF($E8="主站实施",SUM(#REF!,$M8),SUM(IF($G8&lt;&gt;0,SUM(#REF!,#REF!,#REF!),0),IF($H8&lt;&gt;0,SUM(#REF!,#REF!,#REF!,#REF!,#REF!),0),IF($I8&lt;&gt;0,SUM(#REF!,#REF!,#REF!),0),IF($J8&lt;&gt;0,SUM(#REF!,#REF!,#REF!),0),IF($K8&lt;&gt;0,SUM(#REF!,#REF!),0),IF($M8&lt;&gt;0,SUM(#REF!,#REF!,#REF!,#REF!,#REF!,#REF!,#REF!,#REF!),0),$M8)),0)</f>
        <v>0</v>
      </c>
      <c r="O8" s="23"/>
      <c r="P8" s="25">
        <f t="shared" si="1"/>
        <v>0</v>
      </c>
      <c r="Q8" s="30"/>
    </row>
    <row r="9" ht="23.25" customHeight="1" spans="1:17">
      <c r="A9" s="8">
        <f t="shared" si="0"/>
        <v>7</v>
      </c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21"/>
      <c r="N9" s="22">
        <f>IF($B9&lt;&gt;0,IF($E9="主站实施",SUM(#REF!,$M9),SUM(IF($G9&lt;&gt;0,SUM(#REF!,#REF!,#REF!),0),IF($H9&lt;&gt;0,SUM(#REF!,#REF!,#REF!,#REF!,#REF!),0),IF($I9&lt;&gt;0,SUM(#REF!,#REF!,#REF!),0),IF($J9&lt;&gt;0,SUM(#REF!,#REF!,#REF!),0),IF($K9&lt;&gt;0,SUM(#REF!,#REF!),0),IF($M9&lt;&gt;0,SUM(#REF!,#REF!,#REF!,#REF!,#REF!,#REF!,#REF!,#REF!),0),$M9)),0)</f>
        <v>0</v>
      </c>
      <c r="O9" s="23"/>
      <c r="P9" s="25">
        <f t="shared" si="1"/>
        <v>0</v>
      </c>
      <c r="Q9" s="30"/>
    </row>
    <row r="10" ht="23.25" customHeight="1" spans="1:17">
      <c r="A10" s="8">
        <f t="shared" si="0"/>
        <v>8</v>
      </c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21"/>
      <c r="N10" s="22">
        <f>IF($B10&lt;&gt;0,IF($E10="主站实施",SUM(#REF!,$M10),SUM(IF($G10&lt;&gt;0,SUM(#REF!,#REF!,#REF!),0),IF($H10&lt;&gt;0,SUM(#REF!,#REF!,#REF!,#REF!,#REF!),0),IF($I10&lt;&gt;0,SUM(#REF!,#REF!,#REF!),0),IF($J10&lt;&gt;0,SUM(#REF!,#REF!,#REF!),0),IF($K10&lt;&gt;0,SUM(#REF!,#REF!),0),IF($M10&lt;&gt;0,SUM(#REF!,#REF!,#REF!,#REF!,#REF!,#REF!,#REF!,#REF!),0),$M10)),0)</f>
        <v>0</v>
      </c>
      <c r="O10" s="23"/>
      <c r="P10" s="25">
        <f t="shared" si="1"/>
        <v>0</v>
      </c>
      <c r="Q10" s="30"/>
    </row>
    <row r="11" ht="23.25" customHeight="1" spans="1:17">
      <c r="A11" s="8">
        <f t="shared" si="0"/>
        <v>9</v>
      </c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21"/>
      <c r="N11" s="22">
        <f>IF($B11&lt;&gt;0,IF($E11="主站实施",SUM(#REF!,$M11),SUM(IF($G11&lt;&gt;0,SUM(#REF!,#REF!,#REF!),0),IF($H11&lt;&gt;0,SUM(#REF!,#REF!,#REF!,#REF!,#REF!),0),IF($I11&lt;&gt;0,SUM(#REF!,#REF!,#REF!),0),IF($J11&lt;&gt;0,SUM(#REF!,#REF!,#REF!),0),IF($K11&lt;&gt;0,SUM(#REF!,#REF!),0),IF($M11&lt;&gt;0,SUM(#REF!,#REF!,#REF!,#REF!,#REF!,#REF!,#REF!,#REF!),0),$M11)),0)</f>
        <v>0</v>
      </c>
      <c r="O11" s="23"/>
      <c r="P11" s="25">
        <f t="shared" si="1"/>
        <v>0</v>
      </c>
      <c r="Q11" s="30"/>
    </row>
    <row r="12" ht="23.25" customHeight="1" spans="1:17">
      <c r="A12" s="8">
        <f t="shared" si="0"/>
        <v>10</v>
      </c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21"/>
      <c r="N12" s="22">
        <f>IF($B12&lt;&gt;0,IF($E12="主站实施",SUM(#REF!,$M12),SUM(IF($G12&lt;&gt;0,SUM(#REF!,#REF!,#REF!),0),IF($H12&lt;&gt;0,SUM(#REF!,#REF!,#REF!,#REF!,#REF!),0),IF($I12&lt;&gt;0,SUM(#REF!,#REF!,#REF!),0),IF($J12&lt;&gt;0,SUM(#REF!,#REF!,#REF!),0),IF($K12&lt;&gt;0,SUM(#REF!,#REF!),0),IF($M12&lt;&gt;0,SUM(#REF!,#REF!,#REF!,#REF!,#REF!,#REF!,#REF!,#REF!),0),$M12)),0)</f>
        <v>0</v>
      </c>
      <c r="O12" s="23"/>
      <c r="P12" s="25">
        <f t="shared" si="1"/>
        <v>0</v>
      </c>
      <c r="Q12" s="30"/>
    </row>
    <row r="13" ht="23.25" customHeight="1" spans="1:17">
      <c r="A13" s="11"/>
      <c r="D13" s="2"/>
      <c r="G13" s="2"/>
      <c r="H13" s="2"/>
      <c r="I13" s="2"/>
      <c r="J13" s="2"/>
      <c r="K13" s="2"/>
      <c r="L13" s="2"/>
      <c r="M13" s="2"/>
      <c r="N13" s="26"/>
      <c r="O13" s="26"/>
      <c r="P13" s="26"/>
      <c r="Q13" s="26"/>
    </row>
    <row r="14" ht="23.25" customHeight="1" spans="1:16">
      <c r="A14" s="12" t="s">
        <v>25</v>
      </c>
      <c r="N14" s="27"/>
      <c r="O14" s="28" t="s">
        <v>26</v>
      </c>
      <c r="P14" s="29">
        <f>INT(SUM(P3:P12))</f>
        <v>0</v>
      </c>
    </row>
    <row r="15" customHeight="1" spans="1:1">
      <c r="A15" s="12" t="s">
        <v>27</v>
      </c>
    </row>
    <row r="16" customHeight="1" spans="1:1">
      <c r="A16" s="12" t="s">
        <v>28</v>
      </c>
    </row>
    <row r="17" customHeight="1" spans="1:1">
      <c r="A17" s="13" t="s">
        <v>29</v>
      </c>
    </row>
    <row r="18" customHeight="1" spans="1:1">
      <c r="A18" s="13" t="s">
        <v>30</v>
      </c>
    </row>
    <row r="19" customHeight="1" spans="1:1">
      <c r="A19" s="13" t="s">
        <v>31</v>
      </c>
    </row>
    <row r="20" customHeight="1" spans="1:1">
      <c r="A20" s="13" t="s">
        <v>32</v>
      </c>
    </row>
    <row r="21" customHeight="1" spans="1:1">
      <c r="A21" s="13" t="s">
        <v>33</v>
      </c>
    </row>
    <row r="22" customHeight="1" spans="1:1">
      <c r="A22" s="13" t="s">
        <v>34</v>
      </c>
    </row>
    <row r="23" customHeight="1" spans="1:1">
      <c r="A23" s="13" t="s">
        <v>35</v>
      </c>
    </row>
    <row r="24" customHeight="1" spans="1:1">
      <c r="A24" s="13" t="s">
        <v>36</v>
      </c>
    </row>
  </sheetData>
  <sheetProtection sheet="1" formatCells="0" formatColumns="0" formatRows="0" insertRows="0" insertColumns="0" insertHyperlinks="0" deleteColumns="0" deleteRows="0" sort="0" autoFilter="0" pivotTables="0"/>
  <mergeCells count="3">
    <mergeCell ref="A1:F1"/>
    <mergeCell ref="G1:M1"/>
    <mergeCell ref="N1:Q1"/>
  </mergeCells>
  <dataValidations count="5">
    <dataValidation type="list" allowBlank="1" showInputMessage="1" showErrorMessage="1" sqref="C3:C12">
      <formula1>"总公司,公司,工厂,事业部,部门,其他"</formula1>
    </dataValidation>
    <dataValidation type="list" allowBlank="1" showInputMessage="1" showErrorMessage="1" sqref="C13:C1048576">
      <formula1>"集团公司,子集团,子公司,分公司,利润中心"</formula1>
    </dataValidation>
    <dataValidation type="list" allowBlank="1" showInputMessage="1" showErrorMessage="1" sqref="E3:E1048576">
      <formula1>"主站实施,集中推广,逐个推广,远程支持"</formula1>
    </dataValidation>
    <dataValidation type="list" allowBlank="1" showInputMessage="1" showErrorMessage="1" sqref="O3:O12">
      <formula1>",100%,80%,70%,60%,50%,40%,30%,20%,10%,5%"</formula1>
    </dataValidation>
    <dataValidation type="list" allowBlank="1" showInputMessage="1" showErrorMessage="1" sqref="G3:L1048576">
      <formula1>"√"</formula1>
    </dataValidation>
  </dataValidations>
  <pageMargins left="0.699305555555556" right="0.699305555555556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2多组织推广估算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mjlkevin</dc:creator>
  <cp:lastModifiedBy>MJLKevin</cp:lastModifiedBy>
  <dcterms:created xsi:type="dcterms:W3CDTF">2026-03-29T11:20:53Z</dcterms:created>
  <dcterms:modified xsi:type="dcterms:W3CDTF">2026-03-29T11:21:03Z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D13D0B55C195D086959AC869940EFB7D_41</vt:lpwstr>
  </property>
  <property fmtid="{D5CDD505-2E9C-101B-9397-08002B2CF9AE}" pid="3" name="KSOProductBuildVer">
    <vt:lpwstr>2052-6.11.0.8885</vt:lpwstr>
  </property>
</Properties>
</file>