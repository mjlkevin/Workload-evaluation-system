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320" activeTab="1"/>
  </bookViews>
  <sheets>
    <sheet name="实施估算工具使用说明 " sheetId="1" r:id="rId1"/>
    <sheet name="模块报价 " sheetId="2" r:id="rId2"/>
    <sheet name="【NEW】金蝶AI超级套件" sheetId="3" r:id="rId3"/>
    <sheet name="套件报价-AI星空基础套件" sheetId="4" r:id="rId4"/>
    <sheet name="套件报价-AI星空专业套件" sheetId="5" r:id="rId5"/>
    <sheet name="套件报价-AI星空高级套件" sheetId="6" r:id="rId6"/>
    <sheet name="在线交付包" sheetId="7" r:id="rId7"/>
  </sheets>
  <definedNames>
    <definedName name="_xlnm._FilterDatabase" localSheetId="1">'模块报价 '!$A$2:$K$220</definedName>
    <definedName name="_xlnm._FilterDatabase" localSheetId="2">【NEW】金蝶AI超级套件!$B$2:$L$222</definedName>
    <definedName name="_xlnm._FilterDatabase" localSheetId="3">'套件报价-AI星空基础套件'!$B$2:$L$204</definedName>
    <definedName name="_xlnm._FilterDatabase" localSheetId="4">'套件报价-AI星空专业套件'!$B$2:$L$220</definedName>
    <definedName name="_xlnm._FilterDatabase" localSheetId="5">'套件报价-AI星空高级套件'!$B$2:$L$221</definedName>
    <definedName name="_1Excel_BuiltIn__FilterDatabase_1_1_1">#REF!</definedName>
    <definedName name="_Toc486513095" localSheetId="1">'模块报价 '!#REF!</definedName>
    <definedName name="Excel_BuiltIn__FilterDatabase_1_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<sst xmlns="http://schemas.openxmlformats.org/spreadsheetml/2006/main" count="4954" uniqueCount="881">
  <si>
    <t>XX项目人天测算关键假设</t>
  </si>
  <si>
    <t>项目关键假设范围</t>
  </si>
  <si>
    <t>XX项目关键假设内容明细</t>
  </si>
  <si>
    <t>软件产品假定（产品名及版本）</t>
  </si>
  <si>
    <t>交付组织范围</t>
  </si>
  <si>
    <t>站点数及预估用户数</t>
  </si>
  <si>
    <t>项目交付进度假设</t>
  </si>
  <si>
    <t>售前识别的业务范围假设</t>
  </si>
  <si>
    <t>实施策略假设（报表模板、预算表模板、工作流、套打设置等设置工作的分工）</t>
  </si>
  <si>
    <t>甲方团队关键用户的能力素质、成员数、项目工作时间假设</t>
  </si>
  <si>
    <t>交付顾问能力级别假设</t>
  </si>
  <si>
    <t>数据转换范围假设</t>
  </si>
  <si>
    <t>二次开发假设</t>
  </si>
  <si>
    <t>系统集成假设</t>
  </si>
  <si>
    <t>差旅天数、差旅食宿费用假设</t>
  </si>
  <si>
    <t>工作量评估模板中的标准值基于以下关键假设</t>
  </si>
  <si>
    <r>
      <rPr>
        <sz val="9"/>
        <color rgb="FF000000"/>
        <rFont val="微软雅黑"/>
        <charset val="134"/>
      </rPr>
      <t>1.实施人天估算的适用产品为：</t>
    </r>
    <r>
      <rPr>
        <b/>
        <sz val="9"/>
        <color rgb="FF000000"/>
        <rFont val="微软雅黑"/>
        <charset val="134"/>
      </rPr>
      <t>金蝶云星空旗舰版R202602；</t>
    </r>
  </si>
  <si>
    <t>2.顾问能力假设：顾问掌握金蝶云星空相关产品的实施，熟悉相关行业主要业务流程；</t>
  </si>
  <si>
    <t>3.标准实施假设：在单一会计主体企业，中等应用规模，实施主要业务流程所需要的顾问现场支持人天数；</t>
  </si>
  <si>
    <t>4.项目准备阶段作为项目管理总体考虑，不细分到各个模块；</t>
  </si>
  <si>
    <t>工作量评估模板使用说明：</t>
  </si>
  <si>
    <t>1.在运用本工具进行工作量估算时，白底蓝字单元格可修改，顾问应根据客户实际情况填写；</t>
  </si>
  <si>
    <t>2.项目管理在标准人天的基础加上10%的 人天，如实施合计人天为200人天，含项目管理的人天为：200*(1+10%)=220人天；</t>
  </si>
  <si>
    <t>3.如为多法人组织，每增加一个实施法人再在主站实施人天的基础上增加10-80%(参考多组织法人业务相似程度系数可调整)人天；</t>
  </si>
  <si>
    <t xml:space="preserve">     例如：a.多个组织业务相似，且实施在同一地点，多个组织同时上线，系数建议用 10% ~40% </t>
  </si>
  <si>
    <t xml:space="preserve">           b.多个组织业务相似，但实施存在多个实施地点，且分期实施上线，系数建议用 40% ~60%</t>
  </si>
  <si>
    <t xml:space="preserve">           c.多个组织业务不相似，但实施在同一地点，多个组织同时上线，系数建议用 40% ~60% </t>
  </si>
  <si>
    <t xml:space="preserve">           d.多个组织业务不相似，且实施存在多个实施地点，且分期实施上线，系数建议用 70% ~80%</t>
  </si>
  <si>
    <t>云产品</t>
  </si>
  <si>
    <t>SKU名称</t>
  </si>
  <si>
    <t>实施要点</t>
  </si>
  <si>
    <t>实施要点内容说明</t>
  </si>
  <si>
    <t>评估说明</t>
  </si>
  <si>
    <t>标准实施人天</t>
  </si>
  <si>
    <t>是否包含</t>
  </si>
  <si>
    <t>单项小计</t>
  </si>
  <si>
    <t>小计</t>
  </si>
  <si>
    <t>R202505版本对标</t>
  </si>
  <si>
    <t>差旅与费用管理</t>
  </si>
  <si>
    <t>人人差旅</t>
  </si>
  <si>
    <t>人人差旅基本业务处理</t>
  </si>
  <si>
    <t>人人差旅（出差申请、出差申请单（借）、差旅报销）流程</t>
  </si>
  <si>
    <t>需结合差旅标准管控，每个组织的流程不一致时，根据项目实际情况评估</t>
  </si>
  <si>
    <t>√</t>
  </si>
  <si>
    <t>人人费用</t>
  </si>
  <si>
    <t>人人费用基本业务处理</t>
  </si>
  <si>
    <t>人人费用（借还款、费用申请、费用报销）流程</t>
  </si>
  <si>
    <t>需结合费用额度管理，每个组织的流程不一致时，根据项目实际情况评估</t>
  </si>
  <si>
    <t>对公费用</t>
  </si>
  <si>
    <t>对公报销业务处理</t>
  </si>
  <si>
    <t>合同台账、预付款、对公报销付款业务流程</t>
  </si>
  <si>
    <t>额度管理</t>
  </si>
  <si>
    <t>报销额度管理</t>
  </si>
  <si>
    <t>个人/部门额度的维护、报销额度控制、查询业务</t>
  </si>
  <si>
    <t>商旅集成</t>
  </si>
  <si>
    <t>商旅集成及结算业务处理</t>
  </si>
  <si>
    <t>与商旅公司集成订票、退票、改签业务、并与商旅公司对账月结、开票付款业务</t>
  </si>
  <si>
    <t>评估人天包括商旅集成测试、对接及后续结算；&amp;#10;评估人天为集成一个厂商，若每增加集成一个厂商，则多增加3人天；</t>
  </si>
  <si>
    <t>人人资产</t>
  </si>
  <si>
    <t>资产实物管理业务</t>
  </si>
  <si>
    <t>固定资产实物管理业务：申请、领用、退库、移交</t>
  </si>
  <si>
    <t>招待会务费管理</t>
  </si>
  <si>
    <t>会务费基本业务处理</t>
  </si>
  <si>
    <t>招待会议相关设置（会议事项、会议事项费用标准）、会议申请报销流程</t>
  </si>
  <si>
    <t>人人业务云</t>
  </si>
  <si>
    <t>付款申请</t>
  </si>
  <si>
    <t>付款申请业务处理</t>
  </si>
  <si>
    <t>付款申请单业务流程</t>
  </si>
  <si>
    <t>收付款认领</t>
  </si>
  <si>
    <t>认领通知及处理</t>
  </si>
  <si>
    <t>对银行流水进行认领、转发、变更、删除、撤销</t>
  </si>
  <si>
    <t>人人采购</t>
  </si>
  <si>
    <t>采购需求申请</t>
  </si>
  <si>
    <t>采购需求申请业务流程</t>
  </si>
  <si>
    <t>物品领用申请</t>
  </si>
  <si>
    <t>物品出库申请</t>
  </si>
  <si>
    <t>物品出库申请业务流程</t>
  </si>
  <si>
    <t>预算申报</t>
  </si>
  <si>
    <t>预算编制与控制</t>
  </si>
  <si>
    <t>企业人员进行预算编制、调整及执行分析等业务处理</t>
  </si>
  <si>
    <t>新增模块：增加2人天</t>
  </si>
  <si>
    <t>渠道管家</t>
  </si>
  <si>
    <t>移动应用渠道业务处理</t>
  </si>
  <si>
    <t>企业渠道管理人员处理渠道业务，主要包括：客户管理、代客下单、退货申请、市场费用申请、市场费用执行、渠道考核、客户余额查询、客户订单查询等。</t>
  </si>
  <si>
    <t>PC和移动端，如需访销功能结合ISV产品使用</t>
  </si>
  <si>
    <t>渠道运营</t>
  </si>
  <si>
    <t>渠道运营，企业运营人员管理平台，帮助企业渠道运营人员提高渠道管理能力，渠道公告、渠道销售目标、渠道要货计划、渠道考核、渠道销量收集等为运营人员提供丰富的产品力，满足多种业务场景</t>
  </si>
  <si>
    <t>渠道销售目标的收集及导入；要货计划转要货订单流程梳理；销售计划转需求计划流程梳理；渠道考核梳理；报表查询；</t>
  </si>
  <si>
    <t>现场终端报工</t>
  </si>
  <si>
    <t>为生产车间操作人员提供PDA设备的日常生产汇报，包括日常工序间流转，扫码报工、数量、工时、操作员、设备和挂附件，查看技术文档</t>
  </si>
  <si>
    <t>安装、配置PDA设备、环境、界面</t>
  </si>
  <si>
    <t>研发文档查询</t>
  </si>
  <si>
    <t>财务云</t>
  </si>
  <si>
    <t>总账</t>
  </si>
  <si>
    <t>总账业务处理</t>
  </si>
  <si>
    <t>总账初始化-凭证-账簿-月末处理-内置报表查询</t>
  </si>
  <si>
    <t>1.基于预置会计科目表，如需重新设计会计科目体系需另行评估&amp;#10;2.如多组织需使用合并账簿，则增加人天1天&amp;#10;3.基于多组织及内部管理需求构建的多套核算体系，需单独评估</t>
  </si>
  <si>
    <t>内部往来协同</t>
  </si>
  <si>
    <t>凭证内部往来协同</t>
  </si>
  <si>
    <t>面向企业内部各组织基于总账凭证的内部往来核算、勾稽对账、核销的内部往来协同管理</t>
  </si>
  <si>
    <t>智能结账平台</t>
  </si>
  <si>
    <t>智能结账检查及结账</t>
  </si>
  <si>
    <t>制定结账计划、监控结账进度、自定义结账检查项、自动结账</t>
  </si>
  <si>
    <t>智能会计平台</t>
  </si>
  <si>
    <t>系统预设单据凭证模板</t>
  </si>
  <si>
    <t>各业务模块生成总账凭证的桥梁，含各业务单据账务处理方案梳理、科目影响因素、凭证模板等设置</t>
  </si>
  <si>
    <t>综合需考虑集团内不同公司账务处理差异</t>
  </si>
  <si>
    <t>自定义单据凭证模板</t>
  </si>
  <si>
    <t>客户化单据的凭证模板设置</t>
  </si>
  <si>
    <t>结合客户化单据数量及模板工作量另行评估</t>
  </si>
  <si>
    <t>对账管理</t>
  </si>
  <si>
    <t>总账与应收、应付、存货、资产、出纳、票据管理等各业务模块对账及智能调度方案设置</t>
  </si>
  <si>
    <t>电子凭证池</t>
  </si>
  <si>
    <t>电子凭证归档管理</t>
  </si>
  <si>
    <t>电子凭证类型、统一社会信用代码维护</t>
  </si>
  <si>
    <t>不含与外部系统API对接获取原始单据</t>
  </si>
  <si>
    <t>项目会计</t>
  </si>
  <si>
    <t>项目财务核算及分析</t>
  </si>
  <si>
    <t>实现项目收入成本管理、项目开票管理、项目保证金管理及项目财务分析</t>
  </si>
  <si>
    <t>报表</t>
  </si>
  <si>
    <t>报表及模板编制</t>
  </si>
  <si>
    <t>基于财务法定三大报表的项目取数、报表项目重分类、表间勾稽关系等设置</t>
  </si>
  <si>
    <t>基于法定三大报表评估，自定义报表模板需另行增加人天</t>
  </si>
  <si>
    <t>财务报表分析</t>
  </si>
  <si>
    <t>设置报表项目、数据类型、模板式样，对资产负债表、利润表、现金流量表可视化查询和指标分析</t>
  </si>
  <si>
    <t>合并报表</t>
  </si>
  <si>
    <t>集团财务合并报表</t>
  </si>
  <si>
    <t>实现集团各分支机构报表合并和抵消功能、合并范围确认、抵消调整分录模板、个别报表模板、抵消报表模板、工作底稿及合并报表模板；</t>
  </si>
  <si>
    <t>此人天为合并组织10个以内，三大法定报表的抵消及合并，超出此范围合并组织数及抵消业务复杂程度适当增加人天</t>
  </si>
  <si>
    <t>固定资产</t>
  </si>
  <si>
    <t>固定资产基本流程</t>
  </si>
  <si>
    <t>1.基于企业固定资产管理办法的规范性要求，梳理企业资产分类、编码规则、变动方式、资产位置等基础资料&amp;#10;2.满足企业固定资产初始化、工程转固、变更、清理、调拨、盘点、价值折旧等管理活动</t>
  </si>
  <si>
    <t>是否存在特殊的折旧方法</t>
  </si>
  <si>
    <t>租赁资产</t>
  </si>
  <si>
    <t>租赁资产业务流程</t>
  </si>
  <si>
    <t>基于新租赁准则完成租赁合同全过程的计量，与固定资产、费用报销无缝集成并完成每期的利息确认处理</t>
  </si>
  <si>
    <t>非主营资产租赁业务的客户人天估算约7-10天，&amp;#10;主营设备租赁行业的客户人天估算约45人天</t>
  </si>
  <si>
    <t>数据资产</t>
  </si>
  <si>
    <t>数据资产业务流程</t>
  </si>
  <si>
    <t>对企业的数据资产进行全生命周期管理，包括数据资产的登记、确权、摊销及处置等</t>
  </si>
  <si>
    <t>出纳管理</t>
  </si>
  <si>
    <t>出纳基本流程</t>
  </si>
  <si>
    <t>实现出纳日常收付业务，日记账登账、银行对账功能</t>
  </si>
  <si>
    <t>含收款认领功能需另行评估</t>
  </si>
  <si>
    <t>票据管理</t>
  </si>
  <si>
    <t>应收/应付票据管理</t>
  </si>
  <si>
    <t>实现应收票据收票、结算、背书、贴现及应付票据开票等业务功能，实现企业票据台账归集及内置报表分析</t>
  </si>
  <si>
    <t>网上银行</t>
  </si>
  <si>
    <t>网银流程</t>
  </si>
  <si>
    <t>实现企业与银行之间的直连，通过网上银行完成支付功能</t>
  </si>
  <si>
    <t>需与银企服务云一起评估</t>
  </si>
  <si>
    <t>账户管理</t>
  </si>
  <si>
    <t>银行账户管理</t>
  </si>
  <si>
    <t>银行账户的开户申请、变更、销户业务处理及报表查询</t>
  </si>
  <si>
    <t>资金结算</t>
  </si>
  <si>
    <t>内部结算与计息</t>
  </si>
  <si>
    <t>内部账户管理及初始化，内部结算、计息及日结业务处理</t>
  </si>
  <si>
    <t>资金调度</t>
  </si>
  <si>
    <t>资金上拨与下划</t>
  </si>
  <si>
    <t>子母账户组、 账户自动划拨策略和自动划拨设置，资金上拨、下划业务处理</t>
  </si>
  <si>
    <t>资金计划</t>
  </si>
  <si>
    <t>资金计划编制与控制</t>
  </si>
  <si>
    <t>支持采集业务数据用于资金申报和资金计划编制，计划编制可通过计划模板进行；通过配置计划控制规则来控制资金使用和进行计划执行分析；支持资金计划汇总</t>
  </si>
  <si>
    <t>融资管理</t>
  </si>
  <si>
    <t>融资业务流程</t>
  </si>
  <si>
    <t>通过授信管理、贷款合同管理、还款管理、利息与费用管理来对融资业务全流程进行管控</t>
  </si>
  <si>
    <t>信用证管理</t>
  </si>
  <si>
    <t>信用证结算流程</t>
  </si>
  <si>
    <t>通过开证管理、收证管理和与出纳管理联用，实现对信用证结算全流程的管控</t>
  </si>
  <si>
    <t>担保管理</t>
  </si>
  <si>
    <t>保证金管理流程</t>
  </si>
  <si>
    <t>通过与信用证管理、融资管理、票据管理联用，实现保证金存入、保证金存出、保证金收益处理</t>
  </si>
  <si>
    <t>费用核算</t>
  </si>
  <si>
    <t>费用报销</t>
  </si>
  <si>
    <t>面向企业全员以及财务核算用户，提供完整的费用报销、差旅报销等全流程管控，&amp;#10;支持从费用申请、借款到费用报销、退款及费用二次分摊业务，实现企业费用核算管理及与总账凭证集成</t>
  </si>
  <si>
    <t>涉及商旅集成、商旅结算、对账额外增加3人天</t>
  </si>
  <si>
    <t>应收款管理</t>
  </si>
  <si>
    <t>应收基本流程</t>
  </si>
  <si>
    <t>实现债权业务的确认和结算流程，包括应收初始化、日常业务（财务应收、暂估、收入确认、结算、核销）处理，及期末结账</t>
  </si>
  <si>
    <t>1.考虑是否与供应链及发票云联用&amp;#10;2.基于新收入准则实施方案</t>
  </si>
  <si>
    <t>应付款管理</t>
  </si>
  <si>
    <t>应付基本流程</t>
  </si>
  <si>
    <t>实现债务业务的确认和结算流程，包括应付初始化、日常业务（财务应付、暂估、付款申请、结算、核销）处理，及期末结账</t>
  </si>
  <si>
    <t>考虑是否与供应链及发票云联用</t>
  </si>
  <si>
    <t>发票管理</t>
  </si>
  <si>
    <t>发票管理基本流程</t>
  </si>
  <si>
    <t>采购普通/专用发票、销售普通/专用发票业务</t>
  </si>
  <si>
    <t>开票和收票业务需另外加发票云实施人天</t>
  </si>
  <si>
    <t>存货核算</t>
  </si>
  <si>
    <t>存货核算基本流程</t>
  </si>
  <si>
    <t>实现企业存货数据初始化、各库存类单据日常出入库核算、费用暂估及分配、存货跌价计算及内置财务凭证集成入口，满足企业存货日常管理报表分析</t>
  </si>
  <si>
    <t>即时成本</t>
  </si>
  <si>
    <t>启用即时成本</t>
  </si>
  <si>
    <t>实现审核即时核算出库成本，实时生成凭证、出具利润分析报表</t>
  </si>
  <si>
    <t>依赖存货核算</t>
  </si>
  <si>
    <t>实际成本核算</t>
  </si>
  <si>
    <t>产品成本核算基本流程</t>
  </si>
  <si>
    <t>实现产品实际成本的计算和分析，成本中心、成本项目等基础资料梳理设置、费用分配标准及费用分配标准设置、费用引入方案设置；产品成本核算流程梳理；</t>
  </si>
  <si>
    <t>标准成本分析</t>
  </si>
  <si>
    <t>标准成本卷算与分析</t>
  </si>
  <si>
    <t>通过设置物料、半成品的标准成本和工时、费率，根据已维护好的成本BOM，计算出产品的标准成本</t>
  </si>
  <si>
    <t>人天降低：2；随着标准成本分析、标准成本核算等交付装备包发布，及交付培训的推广深入，这两个模块的交付难度有所降低，因此适当调减人天</t>
  </si>
  <si>
    <t>5（降低2人天）</t>
  </si>
  <si>
    <t>标准成本核算</t>
  </si>
  <si>
    <t>标准成本核算流程</t>
  </si>
  <si>
    <t>实现产品标准成本的计算和分析，包括标准成本制定、标准成本更新、标准成本核算、月末完工成本计算及标准成本差异分析；</t>
  </si>
  <si>
    <t>人天降低：4；随着标准成本分析、标准成本核算等交付装备包发布，及交付培训的推广深入，这两个模块的交付难度有所降低，因此适当调减人天</t>
  </si>
  <si>
    <t>20（降低4人天）</t>
  </si>
  <si>
    <t>项目成本</t>
  </si>
  <si>
    <t>项目成本核算流程</t>
  </si>
  <si>
    <t>提供全面的项目成本管理解决方案，包括项目成本数据的归集与分配、成本计算、成本分析</t>
  </si>
  <si>
    <t>项目制造成本</t>
  </si>
  <si>
    <t>项目制造成本核算流程</t>
  </si>
  <si>
    <t>项目制造型企业深入生产现场的项目成本管理，贯穿项目生产制造过程的成本核算; 生产环节的成本归集、分配、核算</t>
  </si>
  <si>
    <t>集团成本还原</t>
  </si>
  <si>
    <t>基于组织间结算以及分项结转，实现集团中对于产品成本结构的穿透和成本利润的还原，提供相关追溯报表</t>
  </si>
  <si>
    <t>预算管理</t>
  </si>
  <si>
    <t>常用预算（如费用、资金预算）的编制、预算控制及预算分析，设置预算组织架构、定义预算模板，设置预算控制规则，进行精准预算编制、控制和分析。</t>
  </si>
  <si>
    <t>基于单个领域预算的人天同费用预算，当涉及到多个领域预算是每增加一个领域需增加3-5人天；若涉及全面预算，请根据全面预算类型及报表个数另行评估；若需使用预算MRP功能，需增加5人天</t>
  </si>
  <si>
    <t>费用预算</t>
  </si>
  <si>
    <t>费用预算编制与控制</t>
  </si>
  <si>
    <t>费用预算的编制、预算控制及预算分析，设置预算组织架构、定义预算模板，设置预算控制规则，进行精准预算编制、控制和分析。</t>
  </si>
  <si>
    <t>项目预算</t>
  </si>
  <si>
    <t>项目预算编制与控制</t>
  </si>
  <si>
    <t>基于项目、任务、成本子要素维度（按需增加物料、部门维度），以单据形式进行项目预算编制和预算变更，项目预算定制化的预算控制与分析。</t>
  </si>
  <si>
    <t>经营会计</t>
  </si>
  <si>
    <t>经营架构</t>
  </si>
  <si>
    <t>定义经营组织架构、单元、科目、核算维度等，通过经营流水出具不同维度下的企业经营数据及分析</t>
  </si>
  <si>
    <t>若经营会计取数涉及的业务单据较多，需适当增加1-2人天</t>
  </si>
  <si>
    <t>研发费用管理</t>
  </si>
  <si>
    <t>研发费用归集与核算</t>
  </si>
  <si>
    <t>支持研发费用归集、分摊及核算、结转；支持研发费用加计扣除数据编制</t>
  </si>
  <si>
    <t>包含研发费用核算配置（6人天)、研发加计扣除归集配置（3人天）、高新费用归集配置（3人天）</t>
  </si>
  <si>
    <t>政府会计</t>
  </si>
  <si>
    <t>政府会计核算</t>
  </si>
  <si>
    <t>支持政府会计的平行记账，包括功能分类、经济分类和平行记账模板等设置，提供差异处理和差异报表</t>
  </si>
  <si>
    <t>包括基础设置、平行记账模板、报表模板等设置；若直接应用政府会计云内容包，实施人天为4天</t>
  </si>
  <si>
    <t>工资管理</t>
  </si>
  <si>
    <t>初始化人员花名册信息</t>
  </si>
  <si>
    <t>根据企业实际需求梳理人员信息字段，扩充配置人员花名册信息，协助企业专员初始化录入人员数据</t>
  </si>
  <si>
    <t>此人天包含在已有人员信息表单上新增字段和信息录入（系统预置了三个自定义人员附表支持直接配置加字段），若涉及新增更多人员附表或有特殊业务要求则需要额外新增实施人天</t>
  </si>
  <si>
    <t>工资计算基本流程</t>
  </si>
  <si>
    <t>面向工资核算专员，提供完整的工资计算、工资发放及财务入账流程。&amp;#10;需要根据企业实际业务梳理配置工资方案，设定对应算薪周期、人员范围、工资项目及其计算规则，系统内置通用模板，支持基于模板快速调整；工资和财务凭证对接需要配置相应的凭证模板。</t>
  </si>
  <si>
    <t>若需要与云之家等IM系统集成获取考勤结果数据，配置+测试需要额外增加1人天&amp;#10;若现场工资方案超过5个或计薪规则较为复杂需酌情新增实施人天&amp;#10;若现场凭证设置较为复杂需酌情新增实施人天&amp;#10;该人天未包含算薪并轨运维的人天，实施期间按需酌情新增</t>
  </si>
  <si>
    <t>供应链云</t>
  </si>
  <si>
    <t>销售管理</t>
  </si>
  <si>
    <t>销售基础资料设置</t>
  </si>
  <si>
    <t>物料销售信息设置，包括：销售单位、时间控制、数量控制等&amp;#10;客户定义（内外），包括：客户分类、客户联系人、地址、默认税率、交易币别、销售部门、分组、开户银行等</t>
  </si>
  <si>
    <t>销售价格管理</t>
  </si>
  <si>
    <t>定义销售价目表、价目类型、销售取价方案、取价策略、限价方案、限价策略等</t>
  </si>
  <si>
    <t>销售基本业务处理</t>
  </si>
  <si>
    <t>实现企业销售业务流程，客户需求→销售订单→发货通知→（销售出库）销售结算</t>
  </si>
  <si>
    <t>如增加直运销售业务，额外增加2人天；&amp;#10;如增加委托代销业务，额外增加2人天；</t>
  </si>
  <si>
    <t>集团企业集中销售流程</t>
  </si>
  <si>
    <t>集中销售模式确定，组织间结算关系定义&amp;#10;集中销售模式方案规划（集中销售、分开发货、分别结算；集中销售分开发货、集中结算；集中销售、内部调拨、集中发货、集中结算）</t>
  </si>
  <si>
    <t>考虑集中业务链路数量进行调整</t>
  </si>
  <si>
    <t>滚动销售管理</t>
  </si>
  <si>
    <t>滚动销售</t>
  </si>
  <si>
    <t>滚动销售计划制定包括销售计划协议、销售计划协议变更、滚动预测计划、滚动要货计划，滚动交货计划等&amp;#10;滚动销售执行（出库、退货）及分析</t>
  </si>
  <si>
    <t>模拟报价</t>
  </si>
  <si>
    <t>报价BOM的维护（也可以取物料BOM），BOM自定义字段体现（需要BOM映射字段配置，开发平台实施人员配置），产品标准费率，产品其他费用（运输费用、人工耗费等设置）；模拟报价下推销售报价</t>
  </si>
  <si>
    <t>产品有工程数据模块的话，3人天可以完成，如果没有购买工程数据的话需要完成BOM的沟通梳理需要6人天</t>
  </si>
  <si>
    <t>采购管理</t>
  </si>
  <si>
    <t>采购基础资料设置</t>
  </si>
  <si>
    <t>物料采购信息设置，包括：采购单位、货源控制、配额控制、需求请购、时间控制、数据控制等&amp;#10;供应商定义（内外），包括：供应商分类、供应商联系人、地址、默认税率、交易币别、采购部门、分组、开户银行等</t>
  </si>
  <si>
    <t>采购价格管理</t>
  </si>
  <si>
    <t>定义采购价目表、价目类型、采购取价方案、取价策略、限价方案、限价策略等</t>
  </si>
  <si>
    <t>采购基本业务处理</t>
  </si>
  <si>
    <t>实现企业采购业务流程，采购申请→采购订单→采购收货→（采购入库）采购结算   &amp;#10;直运采购业务的实现</t>
  </si>
  <si>
    <t>固定资产采购流程</t>
  </si>
  <si>
    <t xml:space="preserve">固定资产采购流程，采购申请→采购订单→采购收货→采购转固→采购结算 </t>
  </si>
  <si>
    <t>集团企业集中采购流程</t>
  </si>
  <si>
    <t>集中采购模式确定，组织间结算关系定义&amp;#10;集中采购模式方案规划（集中采购、分开收货、分别结算；集中采购分开收货、集中结算；集中采购集中收货、集中结算、内部调拨）</t>
  </si>
  <si>
    <t>配套采购</t>
  </si>
  <si>
    <t>按需求单配套计算采购件需求并生成采购申请单</t>
  </si>
  <si>
    <t>VMI采购</t>
  </si>
  <si>
    <t>VMI采购业务</t>
  </si>
  <si>
    <t>VMI业务关联供应商、物料启动&amp;#10;VMI采购、供应商库存管理、消耗、结算</t>
  </si>
  <si>
    <t>滚动采购管理</t>
  </si>
  <si>
    <t>与传统的MRP驱动的单次需求采购不同，滚动采购是由计划驱动的长期采购模式，它通过企业与供应商签订的长期协议，结合动态采购计划进行定期交货</t>
  </si>
  <si>
    <t>需做采购计划协议配额设置，通过采购计划协议、采购计划平台、采购交货计划、采购预测计划、采购要货计划，进行滚动采购计划的执行，生成滚动采购收料通知单、采购入库单，形成计划到采购应付的闭环</t>
  </si>
  <si>
    <t>库存管理</t>
  </si>
  <si>
    <t>仓库基本业务处理（出入库)</t>
  </si>
  <si>
    <t>仓库定义、库管员及分组的划分定义&amp;#10;实现企业日常库存单据管理：调拨、其他出入库等；即时库存、收发明细表、汇总表等基本台账的查询培训</t>
  </si>
  <si>
    <t>盘点处理</t>
  </si>
  <si>
    <t>定义盘点方案&amp;#10;按企业规定的盘存时间对企业内部所有仓库或部分仓库进行盘点作业</t>
  </si>
  <si>
    <t>库存批次/序列号/保质期管理流程</t>
  </si>
  <si>
    <t>确认及定义批号、序列号编码规则及适用方案&amp;#10;根据物料的具体情况对物料启用批次、序列号及保质管理，比如食品类材料一般要启用批次管理、保质期管理</t>
  </si>
  <si>
    <t>库存计划</t>
  </si>
  <si>
    <t>动态安全库存：动态安全库存设置、动态安全库存计算；&amp;#10;库存计划：通过定义内部供应关系、即时库存策略、库存计划信息等基础信息，并通过计划方案编制、计划执行、计划分析生成库存计划及建议</t>
  </si>
  <si>
    <t>结合客户现状，给与库存整体规划方案，包括：仓库规划、库存策略、计划信息整理、计划方案等，并根据分析结构进行调整</t>
  </si>
  <si>
    <t>合同管理</t>
  </si>
  <si>
    <t>采购合同/销售合同</t>
  </si>
  <si>
    <t>企业收入支出类合同执行过程的控制管理&amp;#10;合同管理通过定义合同类型、合同模板、合同条款、主体实现合同全生命周期的管理，并与采购、销售业务衔接</t>
  </si>
  <si>
    <t>需考虑客户合同类型、模板的数量进行调整</t>
  </si>
  <si>
    <t>信用管理</t>
  </si>
  <si>
    <t>通过注册信用单据、定义信用策略、信用控制方案、信用档案，实现对信用额度和信用天数、逾期额度的管控</t>
  </si>
  <si>
    <t>组织间结算</t>
  </si>
  <si>
    <t>组织间结算，内部交易管理（调拨业务,跨组织领料）</t>
  </si>
  <si>
    <t>实现企业内各独立核算的组织之间发生业务往来流程，包括：结算判定配置、取价规则、结算路径、虚单生成方案、结算业务单据等</t>
  </si>
  <si>
    <t>国际贸易管理</t>
  </si>
  <si>
    <t>基础资料设置</t>
  </si>
  <si>
    <t>基础资料设置包括：贸易条款、运输方式、海关编码对应表、海关关区、海关口岸等；&amp;#10;</t>
  </si>
  <si>
    <t>一个组织一个海关编码对应表</t>
  </si>
  <si>
    <t>新增模块：增加20人天</t>
  </si>
  <si>
    <t>进出口贸易</t>
  </si>
  <si>
    <t>贸易协议、进出口合同、进出口订单与进销存、往来结算构建全链条跨国贸易业务</t>
  </si>
  <si>
    <t>海关管理</t>
  </si>
  <si>
    <t>贸易过程中的报关、提单、装箱、商业发票业务；</t>
  </si>
  <si>
    <t>合规管理</t>
  </si>
  <si>
    <t>保税业务下的许可证管理；</t>
  </si>
  <si>
    <t>贸易结算</t>
  </si>
  <si>
    <t>跨国贸易过程中的税费结算（供应链费用单）</t>
  </si>
  <si>
    <t>发运管理</t>
  </si>
  <si>
    <t>基础设置</t>
  </si>
  <si>
    <t>设置不同运输单元、尺寸、载重等信息</t>
  </si>
  <si>
    <t>新增模块：增加10人天</t>
  </si>
  <si>
    <t>运输网络定义</t>
  </si>
  <si>
    <t>包括装运点、运输方式、运输路线。</t>
  </si>
  <si>
    <t>运输协议设置</t>
  </si>
  <si>
    <t>维护不同承运商、运输方式、运输路线下的运输费用项目及价格；&amp;#10;定义运输取价方案、运输取价策略。</t>
  </si>
  <si>
    <t>运输过程</t>
  </si>
  <si>
    <t>基于运输单的运输过程、物流、费用的管理过程。</t>
  </si>
  <si>
    <t>大宗商品管理</t>
  </si>
  <si>
    <t>基础设置包括：期货费用项目、期货交易手续费标准、期货账户报表项目、套期保值类型、交易所、衍生品合约规格说明书</t>
  </si>
  <si>
    <t>新增模块：增加8人天</t>
  </si>
  <si>
    <t>账户设置</t>
  </si>
  <si>
    <t>期货账户维护、期货账户余额记录等</t>
  </si>
  <si>
    <t>金融交易</t>
  </si>
  <si>
    <t>金融日常交易业务及风险管控，包括金融交易明细、期货套期保值交易明细、期货套期保值头寸分布、期货账户交易明细的记录及期货保证金预警</t>
  </si>
  <si>
    <t>最终结算</t>
  </si>
  <si>
    <t>采购结算、销售结算</t>
  </si>
  <si>
    <t>制造云</t>
  </si>
  <si>
    <t>工程数据管理</t>
  </si>
  <si>
    <t>物料清单管理</t>
  </si>
  <si>
    <t>对生产产品的物料清单进行管理，描述其BOM用途，成品率，父阶物料，子阶物料及用量，损耗率，发料控制等  ; BOM中物料的替代关系建立，替代率</t>
  </si>
  <si>
    <t>BOM，包括制造BOM、超级BOM配置的维护，工程变更、替代 料的设置</t>
  </si>
  <si>
    <t>8（降低1人天）</t>
  </si>
  <si>
    <t>需求计划</t>
  </si>
  <si>
    <t>需求的收集及汇总，生成需求计划。包括版本、实体字段映射、数据源的配置、需求方案的设置及需求计划的运算</t>
  </si>
  <si>
    <t>多组织、多部门报需求，总部进行需求汇总并评估后，传递给计划部门进行MRP运算</t>
  </si>
  <si>
    <t>4（降低2人天）</t>
  </si>
  <si>
    <t>预测计划</t>
  </si>
  <si>
    <t>预测计划和预测冲减的实现。包括版本、实体字段映射、数据源的配置、预测冲减定义、预测冲减等的设置</t>
  </si>
  <si>
    <t>多组织、多部门报预测，并且预测数据需与订单进行冲销后，驱动计划部门进行MRP运算</t>
  </si>
  <si>
    <t>6（降低4人天）</t>
  </si>
  <si>
    <t>物料需求计划</t>
  </si>
  <si>
    <t>MPS/MRP计划</t>
  </si>
  <si>
    <t>通过计划方案运算生成生成自制件的生产计划、委外件的委外计划和采购件的采购计划</t>
  </si>
  <si>
    <t>包含主生产计划（MPS）、物料需求计划（MRP）计划方式，及集中计划、协同计划、MTO计划、ROP计划等计划模式的实施，各种计划模式的分析及计划基础资料整理和设置，计划结果的跟踪</t>
  </si>
  <si>
    <t>滚动生产计划</t>
  </si>
  <si>
    <t>包括需求管理、供应管理、供需平衡、计划编制、产能规划，实现企业的产销数据自动平衡，计划与产能高效协作</t>
  </si>
  <si>
    <t>汽配行业特性应用，其它行业是否适用，需具体评估</t>
  </si>
  <si>
    <t>生产管理</t>
  </si>
  <si>
    <t>生产基本业务处理</t>
  </si>
  <si>
    <t>实现企业生产业务流程，生产订单→生产发料→生产汇报→生产入库</t>
  </si>
  <si>
    <t>承接物料需求计划投放的生产单，或手工维护的生产单，自动获取BOM生成生产用料清单，通过齐套分析，进行领退补料或倒冲领料，汇报入库</t>
  </si>
  <si>
    <t>10（降低2人天）</t>
  </si>
  <si>
    <t>简单生产</t>
  </si>
  <si>
    <t>简单生产管理</t>
  </si>
  <si>
    <t>在不使用生产管理模块的前提下，实现简单的生产领退料，生产入库业务，达到生产材料成本归集的功能</t>
  </si>
  <si>
    <t>无法及时提供准确的BOM清单，或边设计、边生产的模式，对生产过程管控不严格的企业，可以采用简单生产模式</t>
  </si>
  <si>
    <t>3（降低1人天）</t>
  </si>
  <si>
    <t>委外管理</t>
  </si>
  <si>
    <t>委外生产业务处理</t>
  </si>
  <si>
    <t xml:space="preserve">实现企业委外业务流程，委外申请单→委外订单→委外发料→委外收货→委外入库→委外结算      </t>
  </si>
  <si>
    <t>承接物料需求计划投放的委外订单或手工维护的委外单，自动获取BOM生成委外用料清单，进行委外领退补料或倒冲领料，进行委外入库，生成委外应付结算，管理委外库存</t>
  </si>
  <si>
    <t>车间管理</t>
  </si>
  <si>
    <t>车间计划与工序汇报业务处理</t>
  </si>
  <si>
    <t>设置自制件的工艺路线、实现工序计划、工序转移、工序委外、内部工序、工序汇报业务流程梳理</t>
  </si>
  <si>
    <t>工作中心的划分，工艺路线的编制，生成工序计划、进行工序汇报、工序委外，</t>
  </si>
  <si>
    <t>18（降低3人天）</t>
  </si>
  <si>
    <t>计时计件工资</t>
  </si>
  <si>
    <t>针对启用计时计价功能的用户，维护计件人员、工价维度、计件范围、计件工价等信息，完成计时计件工资的核算</t>
  </si>
  <si>
    <t>按车间、团队、人员等维度统计汇总计件工资数据</t>
  </si>
  <si>
    <t>3（降低2人天）</t>
  </si>
  <si>
    <t>重复生产管理</t>
  </si>
  <si>
    <t>以重复生产日程为核心，提供灵活、简洁的排产管理，高效的线边补料以及更快捷的生产汇报。包括基础资料设置、重复生产日程、线边仓库存管理、汇报入库的应用</t>
  </si>
  <si>
    <t>质量云</t>
  </si>
  <si>
    <t>质量检验</t>
  </si>
  <si>
    <t>基础资料</t>
  </si>
  <si>
    <t>质量基础资料和物料质检信息的设置</t>
  </si>
  <si>
    <t>设定检验项目、检验方法、检验仪器、检验标准、缺陷、不良品处理方式、抽样方案、检验方案的定义</t>
  </si>
  <si>
    <t>采购检验</t>
  </si>
  <si>
    <t>对外购件采购来料、委外入库的检验，来料不良、让步接收的处理及MRB评审</t>
  </si>
  <si>
    <t>2（降低1人天）</t>
  </si>
  <si>
    <t>生产检验</t>
  </si>
  <si>
    <t>对自制件生产汇报后，进行合格入库检验，生产不良品、让步接收及MRB评审、生产退料请检</t>
  </si>
  <si>
    <t>销售检验</t>
  </si>
  <si>
    <t>衔接发货通知单，进行发货请检，进行销售检验，销售不良品处理及MRB评审</t>
  </si>
  <si>
    <t>在库检验</t>
  </si>
  <si>
    <t>在库库存请检，保质期物料到期请检，库存检验，判定合格与不良</t>
  </si>
  <si>
    <t>其它检验</t>
  </si>
  <si>
    <t>其它入库的物料，需要进行入库检验，可通过启用其它检验实现</t>
  </si>
  <si>
    <t>1（降低1天）</t>
  </si>
  <si>
    <t>移动质检</t>
  </si>
  <si>
    <t>配置移动设备，采用PDA移动质检，实现来料检验、生产入库、工序检验等的移动检验</t>
  </si>
  <si>
    <t>3（降低3人天）</t>
  </si>
  <si>
    <t>质量追溯</t>
  </si>
  <si>
    <t>通过物料启用批号、序列号，进行日常业务的出入库管理，实现物料从收料、发料、生产入库、移库、发货的来源、去向追溯</t>
  </si>
  <si>
    <t>3（降低2天）</t>
  </si>
  <si>
    <t>条码云</t>
  </si>
  <si>
    <t>条码管理</t>
  </si>
  <si>
    <t>设置条码规则、条码主档，支持条形码、二维码应用，星空条码主档规则梳理、基于“业务单据或基础资料”等数据，按照指定条码规则及条码打印模板，批量生成条码主档，打印条码标签</t>
  </si>
  <si>
    <t>固定资产条码</t>
  </si>
  <si>
    <t>固定资产条码管理</t>
  </si>
  <si>
    <t>设置资产条码规则，实现资产标签管理、固定资产日常条码操作及移动扫码盘点</t>
  </si>
  <si>
    <t>若资产条码标签打印模板需配置多个，可增加相应人天</t>
  </si>
  <si>
    <t>渠道云</t>
  </si>
  <si>
    <t>全网库存</t>
  </si>
  <si>
    <t>全局库存可视化和全网库存策略管理中心&amp;#10;包括：库存业务、可销库存管理、报表查询库存周转分析、库存预警分析、渠道进销存等</t>
  </si>
  <si>
    <t>渠道资金池</t>
  </si>
  <si>
    <t>渠道资金池业务</t>
  </si>
  <si>
    <t>梳理资金池账户的收入和使用规则，包括激励账（返利、价保等）、营销费用账、资金（预收款）账的资金、余额流水查询</t>
  </si>
  <si>
    <t>结合返利管理和营销费用业务使用</t>
  </si>
  <si>
    <t>价格促销</t>
  </si>
  <si>
    <t>渠道价格政策及渠道促销策略业务设置</t>
  </si>
  <si>
    <t>设置渠道和商品的价格；梳理促销政策，匹配政策及订单促销的执行，促销政策执行的过程管理</t>
  </si>
  <si>
    <t>价格发布，促销政策梳理及匹配</t>
  </si>
  <si>
    <t>返利管理</t>
  </si>
  <si>
    <t>渠道返利业务处理</t>
  </si>
  <si>
    <t>梳理企业渠道的返利规则，设置返利政策、返利数据计算和使用规则，在订货时可以使用返利账户余额抵扣订单金额</t>
  </si>
  <si>
    <t>依赖渠道资金池管理、&amp;#10;梳理返利政策及匹配</t>
  </si>
  <si>
    <t>营销费用</t>
  </si>
  <si>
    <t>常规费用预算及变动预算的营销费用业务处理</t>
  </si>
  <si>
    <t>营销费用梳理，对集团的各部门营销费用进行预算费用逐层分配，调整，按费用预算控制活动费用申请，费用核销，更新费用资金池余额，报表分析</t>
  </si>
  <si>
    <t>依赖渠道资金池管理。业务梳理，费用分解，费用申请，费用核销</t>
  </si>
  <si>
    <t>渠道门户</t>
  </si>
  <si>
    <t>渠道门店应用</t>
  </si>
  <si>
    <t>经销商门户业务处理：订货、签收、退货；销售开单；库存管理、资金、对账等&amp;#10;下级渠道的管理：下游促销政策、返利政策、订单处理等</t>
  </si>
  <si>
    <t>PC和移动端，建议一批上线限200家内，如超出数量，培训和推广需增加相应人天</t>
  </si>
  <si>
    <t>B2B订单中心</t>
  </si>
  <si>
    <t>处理渠道的订单、退货、收款、物流配送等相关业务&amp;#10;订单资金池使用规则，可按结算组织、客户设置订单抵扣的比例范围</t>
  </si>
  <si>
    <t>区分不同业务类型处理</t>
  </si>
  <si>
    <t>渠道档案、商品信息的维护与设置，以及商品可销与订货控制策略相关基础资料维护与管理&amp;#10;系统设置：人员、角色、单据类型控制等</t>
  </si>
  <si>
    <t>基本资料整理及系统设置</t>
  </si>
  <si>
    <t>渠道运营的目标设置、渠道销售计划等运营相关的管理设定</t>
  </si>
  <si>
    <t>渠道目标考核、渠道销售计划、及数据分析</t>
  </si>
  <si>
    <t>目标制定、要货计划、渠道考核的设计</t>
  </si>
  <si>
    <t>电商集成服务</t>
  </si>
  <si>
    <t>电商平台的基础资料及单据的集成服务配置</t>
  </si>
  <si>
    <t>OMS集成配置：OMS系统集成参数设置（如：OMS自定义参数配置、奇门自定义参数配置、业务数据集成范围设置等）、基础资料映射（如：商品、仓库、供应商、计量单位、店铺等主数据映射）&amp;#10;OMS订单管理&amp;#10;OMS库存业务管理&amp;#10;OMS订单、库存单据、集成日志等</t>
  </si>
  <si>
    <t>评估依据单个对接平台，如需对接多个平台，人天需乘以平台数量</t>
  </si>
  <si>
    <t>项目云</t>
  </si>
  <si>
    <t>项目管理</t>
  </si>
  <si>
    <t>项目基础资料设置及项目过程管理，从项目立项、计划、执行、文档及收尾的过程管理</t>
  </si>
  <si>
    <t>不含项目制造</t>
  </si>
  <si>
    <t>高级项目管理</t>
  </si>
  <si>
    <t>含项目与生产和委外的集成， 项目任务关系、项目任务泳道图</t>
  </si>
  <si>
    <t>当有项目制造时，人天需要项目管理加高级项目管理</t>
  </si>
  <si>
    <t>移动项目管理</t>
  </si>
  <si>
    <t>项目管理移动端业务场景，帮助企业提升作业效率，主要完成项目工时的汇报</t>
  </si>
  <si>
    <t>结合条码管理，完成项目移动工时汇报，项目人员可以通过移动端汇报项目的工时</t>
  </si>
  <si>
    <t>PLM云</t>
  </si>
  <si>
    <t>研发文档管理</t>
  </si>
  <si>
    <t>包括文档存储加密管理、文档全流程状态控制、文档版本控制，历史可追溯、文档权限发布，按需获取</t>
  </si>
  <si>
    <t>包含文档模型管理、编码管理、模板管理、版本版次管理、文档浏览插件配置、电子审批、批量导入、检索、生命周期管理、电子工作流、转PDF签字等。非自带基础文件类型的文档需额外评估。</t>
  </si>
  <si>
    <t>8（降低2人天）</t>
  </si>
  <si>
    <t>研发物料管理</t>
  </si>
  <si>
    <t>设定各类物料的合规性、完整性检查规则，物料质量得以保证，加强对物料来源过程的控制，保证进入生产制造数据的准确性</t>
  </si>
  <si>
    <t>包含物料分类、物料编码、物料标准化、物料申请单、物料生命周期控制、工作流审批、物料推送、权限控制等模块。此标准人天只包含配置工作，如需整理物料基础数据根据实际数据量评估</t>
  </si>
  <si>
    <t>18（降低6人天）</t>
  </si>
  <si>
    <t>产品BOM管理</t>
  </si>
  <si>
    <t>EBOM、PBOM快速搭建，根据已有BOM快速变形设计生成新的BOM结构</t>
  </si>
  <si>
    <t>如需整理历史数据需按实际数量级去评估。</t>
  </si>
  <si>
    <t>10(降低4人天)</t>
  </si>
  <si>
    <t>设计变更管理</t>
  </si>
  <si>
    <t>创建变更申请单，变更方案，变更执行、变更评估</t>
  </si>
  <si>
    <t>如变更控制程序有行业特殊要求，需要定制表单等，建议额外评估。</t>
  </si>
  <si>
    <t>12（降低2人天）</t>
  </si>
  <si>
    <t>产品工艺管理</t>
  </si>
  <si>
    <t>在原企业版基础上，增加工艺通知单、工厂、工艺件（工艺半成品）功能、工艺简图、可不限于PBOM制定工艺路线、可基于工艺路线添加辅料，可基于工艺路线及工艺简图制作SOP。暂不支持工艺路线下推。</t>
  </si>
  <si>
    <t>人天中不包含SOP套打模板设计及工艺路线、工序数据整理及导入人天。</t>
  </si>
  <si>
    <t>12（降低3人天）</t>
  </si>
  <si>
    <t>Solidworks集成</t>
  </si>
  <si>
    <t>设计软件SolidWorks中，通过接口将图纸导入到系统中，图纸直接生成EBOM并建立驱动关系</t>
  </si>
  <si>
    <t>包含基本插件功能，和基本图纸模板规范，图纸模板配置和图纸整理工作一般由客户方主导。</t>
  </si>
  <si>
    <t>Altium Designer集成</t>
  </si>
  <si>
    <t>设计软件AD中，通过接口将图纸导入到系统中，图纸直接生成PCBA下挂电子元器件的单层EBOM结构并建立驱动关系（不含PCB板）</t>
  </si>
  <si>
    <t>电子元器件的识别可通过对接物料库的方式，或上传时匹配两种方式。使用过程中需要客户规划统一元器件图形库及封装库。</t>
  </si>
  <si>
    <t>EPLAN集成</t>
  </si>
  <si>
    <t>ePlan集成</t>
  </si>
  <si>
    <t>设计软件ePlan中，通过接口将图纸导入系统中，图纸直接生成EBOM并建立驱动关系，图纸导入前，可根据物料描述匹配电气件</t>
  </si>
  <si>
    <t>图纸需按规范描述高层代号，图纸整理工作一般由客户方主导。</t>
  </si>
  <si>
    <t>AutoCAD集成</t>
  </si>
  <si>
    <t>设计软件AutoCAD中，通过接口将图纸导入到系统中，图纸直接生成EBOM并建立驱动关系</t>
  </si>
  <si>
    <t>中望CAD集成</t>
  </si>
  <si>
    <t>设计软件中望CAD中，通过接口将图纸导入到系统中，图纸直接生成EBOM并建立驱动关系</t>
  </si>
  <si>
    <t>Creo集成</t>
  </si>
  <si>
    <t>设计软件Creo中，通过接口将图纸导入到系统中，图纸直接生成EBOM并建立驱动关系</t>
  </si>
  <si>
    <t>研发项目管理</t>
  </si>
  <si>
    <t>MSProject及Excel导入、系统内创建，支持里程碑计划、分级协同编制计划，支持任务填报、批量工作汇报、项目周报，实现进度、成果、效率、工时投入等数据看板（本期功能不包含项目模板创建）</t>
  </si>
  <si>
    <t>人天计算中不包含研发流程的梳理人天；&amp;#10;如需包含研发流程梳理，可增加6人天&amp;#10;</t>
  </si>
  <si>
    <t>需求管理</t>
  </si>
  <si>
    <t>基于IPD思想及正向研发V模型理论，系统按照机电和电子两个行业预置四层需求结构以及PRD、MRD定义，支持自定义需求界面及需求分解结构，支持对需求进行自定义生命周期阶段及版本定义，可关联至产品路标</t>
  </si>
  <si>
    <t>人天中包含需求管理的基本流程梳理及结构搭建。</t>
  </si>
  <si>
    <t>PLM模型定义</t>
  </si>
  <si>
    <t>自定义PLM模型</t>
  </si>
  <si>
    <t>参照企业版PDM对象自定义扩展功能，实现如知识库、经验教训库等超出已有对象的管理需求；</t>
  </si>
  <si>
    <t>包含开发平台中的字段拖拽等功能，人天按单一对象计。&amp;#10;</t>
  </si>
  <si>
    <t>银企云</t>
  </si>
  <si>
    <t>查询与支付接口</t>
  </si>
  <si>
    <t>银行查询和支付业务</t>
  </si>
  <si>
    <t>实现在线查询账户余额、交易明细、对公对私付款、代发工资等支付业务</t>
  </si>
  <si>
    <t>每增加一个银行相应增加3天</t>
  </si>
  <si>
    <t>电子回单接口</t>
  </si>
  <si>
    <t>电子回单文件下载</t>
  </si>
  <si>
    <t>下载电子回单文件，解析并上传回单文件到苍穹文件服务系统，供资金管理使用</t>
  </si>
  <si>
    <t>每增加一个银行相应增加2天</t>
  </si>
  <si>
    <t>税务云</t>
  </si>
  <si>
    <t>税务组织管理</t>
  </si>
  <si>
    <t>税务组织、税务信息、税务管控视图、汇总方案</t>
  </si>
  <si>
    <t>涉税数据管理</t>
  </si>
  <si>
    <t>配置税种相关的税源数据</t>
  </si>
  <si>
    <t>科目、财务凭证、科目余额表、报表、进销项发票、房产、应税凭证、资产折旧摊销信息、土地等税源信息</t>
  </si>
  <si>
    <t>增值税</t>
  </si>
  <si>
    <t>配置取数规则、验证纳税申报数据正确性</t>
  </si>
  <si>
    <t>基于最新税务政策配置申报规则、取数规则、校验规则匹配不同计税逻辑等方案，进行增值税进项抵扣、转出、即征即退等业务管理，完成企业增值税底稿编制、查询、申报、缴纳、缓缴等活动</t>
  </si>
  <si>
    <t>企业所得税</t>
  </si>
  <si>
    <t>基于最新税务政策配置申报规则、取数规则、校验规则匹配不同计税逻辑等方案，完成企业所得税的底稿编制、申报、预缴、缓缴等活动</t>
  </si>
  <si>
    <t>财产和行为税</t>
  </si>
  <si>
    <t>申报规则、校验规则</t>
  </si>
  <si>
    <t>实现企业印花税、房地和土地使用税业务的业务管理，配置印花税、房产和土地使用税、车船税等申报源数据、申报底稿、报表模板、取数规则、纳税申报校验规则等方案</t>
  </si>
  <si>
    <t>税企直连</t>
  </si>
  <si>
    <t>税企直连配置</t>
  </si>
  <si>
    <t>税企直连相关配置（基础运维配置、通信通道、登录、接口环境参数）、申报凭证下载上传、一键报税操作</t>
  </si>
  <si>
    <t>标准默认按3个税种（增值税、企业所得税、印花税）评估，另外需结合集成的税种数量评估，单个税种测试3/人天，涉及N个税种，则N*3/人天</t>
  </si>
  <si>
    <t>其他税费</t>
  </si>
  <si>
    <t>台账税务规则配置</t>
  </si>
  <si>
    <t>实现工会经费、工会筹备金、堤围费、水利基金、垃圾处理费、残疾人保证金、文化事业建设费等各类税费申报统一管理</t>
  </si>
  <si>
    <t>税务风险管控</t>
  </si>
  <si>
    <t>风险设置</t>
  </si>
  <si>
    <t>搭建税务风险全方位监控体系，实现对风险事项的定期自动预警、跟踪、处理</t>
  </si>
  <si>
    <t>税务报表报告</t>
  </si>
  <si>
    <t>取数配置</t>
  </si>
  <si>
    <t>实现财务报表报送全流程线上管理</t>
  </si>
  <si>
    <t>报税工作台</t>
  </si>
  <si>
    <t>任务监控</t>
  </si>
  <si>
    <t>实现各税种应用中的税务工作集成在报税工作台中，提供给用户一个一站式的工作平台</t>
  </si>
  <si>
    <t>税务统计分析</t>
  </si>
  <si>
    <t>税金数据查询分析</t>
  </si>
  <si>
    <t>基于标准产品功能，按照税种配置查询税务数据、汇总税务数据，并配置税务主体申报缴纳的看板管理</t>
  </si>
  <si>
    <t>SRM云</t>
  </si>
  <si>
    <t>供应商管理</t>
  </si>
  <si>
    <t>准入认证、日常管理、绩效管理、基础设置</t>
  </si>
  <si>
    <t>供应商注册、准入认证、资质审查、品类管理、风险管理及认证协同；评估看板、绩效评估计划、评估任务、评估报告、改善管理、评估指标</t>
  </si>
  <si>
    <t>询价与竞价</t>
  </si>
  <si>
    <t>采购询比价和在线竞价</t>
  </si>
  <si>
    <t>采购寻源业务管理，询价管理从询价、报价、比价，定标</t>
  </si>
  <si>
    <t>供应商协同</t>
  </si>
  <si>
    <t>订单管理、发货管理、收货管理、退货管理、质量协同、账务协同、库存协同、VMI协同</t>
  </si>
  <si>
    <t>采购与供应商的采购订单，发货收货，退货，质量问题退知索赔，VMI协同，对账发票业务协同</t>
  </si>
  <si>
    <t>移动供应商门户</t>
  </si>
  <si>
    <t>移动端供应商门户业务操作</t>
  </si>
  <si>
    <t>基于移动端应用，包括：报价、订单查阅、发货、变更等</t>
  </si>
  <si>
    <t>基于移动端标准应用的培训、推广</t>
  </si>
  <si>
    <t>招标管理</t>
  </si>
  <si>
    <t>项目立项、招标、定标、评标、开标、收费管理</t>
  </si>
  <si>
    <t>项目立项开始执行招标流程：招标、执行、收费、开标、评标、定标并提供多维度分析报表</t>
  </si>
  <si>
    <t>采购商城</t>
  </si>
  <si>
    <t>商城管理</t>
  </si>
  <si>
    <t>商城设置：包括电商初始化、商城辅助资料设置、商品分类、商品与物料对应设置、商品分类与物料映射、采买权限、商城首页组件及配置方案、商品评价管理等。</t>
  </si>
  <si>
    <t>新增模块：增加5人天</t>
  </si>
  <si>
    <t>高级招标管理</t>
  </si>
  <si>
    <t>如标准流程无法匹配客户业务流程需另外定义配置流程，配置流程额外增加1人天</t>
  </si>
  <si>
    <t>IPO中心</t>
  </si>
  <si>
    <t>IPO主题分析</t>
  </si>
  <si>
    <t>上市审核分析报表</t>
  </si>
  <si>
    <t>基于IPO上市审核视角，从资产、负债、收入、成本费用、内控、关联交易多维度多角度的数据合规分析</t>
  </si>
  <si>
    <t>提供系统预置分析报表的培训</t>
  </si>
  <si>
    <t>IPO项目管理</t>
  </si>
  <si>
    <t>IPO过程任务管理</t>
  </si>
  <si>
    <t>管理IPO进程中的具体工作任务，对任务进行进度跟进/状态标记、统计分析任务关键指标，帮助IPO企业全局把控任务进展</t>
  </si>
  <si>
    <t>仅提供IPO过程的任务管理工具，不做IPO上市辅导</t>
  </si>
  <si>
    <t>IPO上市智测</t>
  </si>
  <si>
    <t>IPO测评</t>
  </si>
  <si>
    <t>全面测评企业IPO资格满足情况，并给出智测结果，形成智测报告</t>
  </si>
  <si>
    <t>合同中心(CM)</t>
  </si>
  <si>
    <t>合同中心（CM）</t>
  </si>
  <si>
    <t>包括合同类型、合同主体、合同相对方、合同标的方案、合同款项节点、合同款项方案、合同条款、合同模板。</t>
  </si>
  <si>
    <t>每增加5个合同模板增加一个人天</t>
  </si>
  <si>
    <t>新增模块：3人天</t>
  </si>
  <si>
    <t>合同签订</t>
  </si>
  <si>
    <t>基于合同模板及其他基础配置进行合同文档的在线起草。</t>
  </si>
  <si>
    <t>新增模块：1人天</t>
  </si>
  <si>
    <t>合同智审</t>
  </si>
  <si>
    <t>基础设置：合同评审规则设置；&amp;#10;合同在线协作评审。</t>
  </si>
  <si>
    <t>电子档案</t>
  </si>
  <si>
    <t>电子会计档案集成</t>
  </si>
  <si>
    <t>配置归档服务器和归档方案，实现电子档案的归档管理</t>
  </si>
  <si>
    <t>新增模块：10人天</t>
  </si>
  <si>
    <t>系统服务云</t>
  </si>
  <si>
    <t>基础服务</t>
  </si>
  <si>
    <t>组织架构</t>
  </si>
  <si>
    <t>行政组织（部门）、业务单元、人员、业务单元协作</t>
  </si>
  <si>
    <t>单数据中心，单一集团，单核算体系且非集成情况下。若集成，须评估各类组织及人员的数据来源及接口情况，可作为开发工作量评估或实施工作适当调增。</t>
  </si>
  <si>
    <t>权限管理</t>
  </si>
  <si>
    <t>角色、权限、许可分配、权限控制策略、基础数据管控策略配置</t>
  </si>
  <si>
    <t>考虑是否有明确的岗位和岗位职责可作为权限梳理的依据，若无，则根据权限要求的复杂程度适当调增。</t>
  </si>
  <si>
    <t>配置工具</t>
  </si>
  <si>
    <t>编码规则</t>
  </si>
  <si>
    <t>各应用单据的编码规则的维护</t>
  </si>
  <si>
    <t>预警平台</t>
  </si>
  <si>
    <t>业务预警对象、方案的定义及执行</t>
  </si>
  <si>
    <t>打印模板</t>
  </si>
  <si>
    <t>基于标准产品预置的套打模板，完成各业务模块单据及凭证打印模板任务</t>
  </si>
  <si>
    <t>单数据中心，集团统一管理，且已经有明确的单据模板和详细要求。若涉及打印模板的设计与梳理，则酌情增加。</t>
  </si>
  <si>
    <t>移动应用</t>
  </si>
  <si>
    <t>业务审批</t>
  </si>
  <si>
    <t>移动审批</t>
  </si>
  <si>
    <t>移动应用的安装配置（云之家、钉钉、企业微信）、业务审批移动应用的单据配置</t>
  </si>
  <si>
    <t>BOSS助理</t>
  </si>
  <si>
    <t>经营动态分析报表、经营报告配置</t>
  </si>
  <si>
    <t>供应链移动应用</t>
  </si>
  <si>
    <t>移动销售</t>
  </si>
  <si>
    <t>移动端快速下达销售订单，移动端查询库存，设置查询方案</t>
  </si>
  <si>
    <t>质量移动应用</t>
  </si>
  <si>
    <t>定义移动端质检界面及字段，支持移动端的来料质检、生产检验业务</t>
  </si>
  <si>
    <t>条码移动应用</t>
  </si>
  <si>
    <t>移动库存条码</t>
  </si>
  <si>
    <t>库存条码移动应用</t>
  </si>
  <si>
    <t>库存出入库，可通过PDA手持设备，扫码进行出入库业务，生成对应的出入库单据，移动硬件安装部署和移动条码单据配置</t>
  </si>
  <si>
    <t>该评估依据为常规供应链业务的出入库（采购、销售出入库、其他出入库等）标准业务，涉及到非标业务应用时需根据涉及的业务需要2个业务/人天增加</t>
  </si>
  <si>
    <t>流程服务云</t>
  </si>
  <si>
    <t>消息中心</t>
  </si>
  <si>
    <t>任务、消息、工作流、业务流程查看及信息中心设置</t>
  </si>
  <si>
    <t>满足企业内部信息模板定义、消息类型、渠道设置等多样化需求，实现任务的自动化处理规则、用户卡片定制</t>
  </si>
  <si>
    <t>工作流服务</t>
  </si>
  <si>
    <t>设计中心</t>
  </si>
  <si>
    <t>企业内部流程审批设计平台，设计业务对象的流程审批模型，完成流程模板建立、发布</t>
  </si>
  <si>
    <t>参考流程数量及复杂程度&amp;#10;（参照中等复杂的流程平均1个流程所需设计2个小时）</t>
  </si>
  <si>
    <t>管理中心</t>
  </si>
  <si>
    <t>基于发布的审批流程配置流程的启停条件、动态方案、模拟校验及流程导出导入管理</t>
  </si>
  <si>
    <t>监控&amp;分析中心</t>
  </si>
  <si>
    <t>监控企业运行审批流程状态、分析流程运行效率、人员审批效率等</t>
  </si>
  <si>
    <t>业务流服务</t>
  </si>
  <si>
    <t>满足企业跨业务流程的编排及自动化流程处理</t>
  </si>
  <si>
    <t>单据转换</t>
  </si>
  <si>
    <t>基于单据关联模型设计上下游单据的转换规则、反写规则，实现企业个性化流程管控目的</t>
  </si>
  <si>
    <t>基于标准产品预置单据转换评估，不包含客户化二开单据配置</t>
  </si>
  <si>
    <t>Global Cloud</t>
  </si>
  <si>
    <t>GlobalEase</t>
  </si>
  <si>
    <t>全球化配置</t>
  </si>
  <si>
    <t>配置全球化业务单元、币别、税务规则等</t>
  </si>
  <si>
    <t>仅为基础配置，全球化业务需另行评估</t>
  </si>
  <si>
    <t>越南财税</t>
  </si>
  <si>
    <t>越南本地计税和申报、发票合规</t>
  </si>
  <si>
    <t>面向越南本地化的财税需求，遵循越南最新的税务法规，预置计税规则和申报表模板，支持增值税、企业所得税申报表的自动编制，确保企业税务申报符合最新要求；同时，对销售与采购发票完成越南合规性改造，并预置了与发票服务税的集成，实现税务发票的一键开具、自动同步与集中管理。</t>
  </si>
  <si>
    <t>如需集成发票服务商开具电票需另外评估人天</t>
  </si>
  <si>
    <t>越南关务</t>
  </si>
  <si>
    <t>基础数据整理、海关集成配置</t>
  </si>
  <si>
    <t>基础数据：海关运输方式、海关关区、包装方式等基础数据的收集、维护；海关集成：按海关服务商配置</t>
  </si>
  <si>
    <t>海关集成功能需要购买越南政府认证的报关软件及其API接口</t>
  </si>
  <si>
    <t>新加坡财税</t>
  </si>
  <si>
    <t>新加坡本地计税和申报、发票合规</t>
  </si>
  <si>
    <t>面向新加坡本地化的财税需求，遵循新加坡最新的税务法规，预置计税规则和申报表模板，支持货劳税、企业所得税申报表的自动编制，确保企业税务申报符合最新要求；同时，对销售与采购发票完成新加坡合规性改造，并预置了与发票服务税的集成，实现税务发票的一键开具、自动同步与集中管理。</t>
  </si>
  <si>
    <t>财税生态</t>
  </si>
  <si>
    <t>招行CBS集成</t>
  </si>
  <si>
    <t>招行CBS8服务配置</t>
  </si>
  <si>
    <t>招行CBS8服务配置，提供星空旗舰版和招行CBS8之间的身份验证及安全连接配置</t>
  </si>
  <si>
    <t>宁波银行财资大管家集成</t>
  </si>
  <si>
    <t>宁波银行财资大管家集成配置，实现支付与查询及电子回单查询</t>
  </si>
  <si>
    <t>数据服务云</t>
  </si>
  <si>
    <t>轻分析</t>
  </si>
  <si>
    <t>提供经营分析需要的数据抽取、数据建模；用户通过查看、筛选、钻取访问报表及图形化界面，含嵌入式分析和主题式分析</t>
  </si>
  <si>
    <t>根据客户需求的明确程度，报需求梳理人天，要明确到什么表的什么字段取自于哪张单据,以及认可的展现形式；以一张报表、大屏看板或手机端看板为例：（1）对现有单据和账表的数据分析和可视化，不需要表间关联的，1人天起；（2）对于需要新增字段、表间关联的需求，3人天起；（3）对于需要第三方接口取数，不同系统之间数据关联，5人天起。在此基础上对于应用较广的客户，另外报培训辅导的人天；</t>
  </si>
  <si>
    <t>轻报表</t>
  </si>
  <si>
    <t>实现企业格式灵活、信息量大、表格驱动、计算复杂的报表需求，典型的报表模式如：复杂表头报表、多源分片报表、图文混排报表、固定格式报表、树形报表等</t>
  </si>
  <si>
    <t>单张报表评估基准3/人天起</t>
  </si>
  <si>
    <t>轻报表快照中心</t>
  </si>
  <si>
    <t>轻报表高级特性，将轻报表的执行结果以携带数据的形式，归档保存为报表快照，用户可以自由修改归档后的执行结果以用于工作汇报和交流</t>
  </si>
  <si>
    <t>AI智能体</t>
  </si>
  <si>
    <t>报价智能体</t>
  </si>
  <si>
    <t>报价智能体配置</t>
  </si>
  <si>
    <t>1、模型实例开通 2、配置小程序用户白名单 3、导入商品信息，补充物料（图片、描述、规格) 4、物料数据、产品说明书等，同步至向量库</t>
  </si>
  <si>
    <t>报价智能体的权益包括：存储空间：2C8G多模态存储，可承载1千个万字文档或者5万个图片，超量需要购买空间存储扩容包；大模型调用次数:年109,500封顶，超量需要购买大模型调用扩容包</t>
  </si>
  <si>
    <t>合同审查智能体</t>
  </si>
  <si>
    <t>合同审查智能体配置</t>
  </si>
  <si>
    <t>1、检索提示词维护；&amp;#10;2、审查提示词维护；&amp;#10;3、大模型参数配置等事项。</t>
  </si>
  <si>
    <t>系统预设好6类常用审查清单&amp;#10;如果用户购买Agent平台，需要开通Agent平台相关功能</t>
  </si>
  <si>
    <t>呆滞料智能体</t>
  </si>
  <si>
    <t>呆滞料智能体配置</t>
  </si>
  <si>
    <t>1、轻数据仓配置，包括运维部署、DataCloud数据模型导入；&amp;#10;2、智能体和旗舰版Open API对接：&amp;#10;智能体行动措施生成旗舰版对应单据</t>
  </si>
  <si>
    <t>当前版本只支持对接星空旗舰版；&amp;#10;说明：多个智能体都需要对接数仓时只需要一次对接数仓工作量（2天）</t>
  </si>
  <si>
    <t>呆滞料智能体Pro</t>
  </si>
  <si>
    <t>同上</t>
  </si>
  <si>
    <t>惠普版、专业版二选一</t>
  </si>
  <si>
    <t>毛利分析智能体</t>
  </si>
  <si>
    <t>毛利分析智能体配置</t>
  </si>
  <si>
    <t>轻数据仓配置，包括运维部署、连接配置、导入数据空间；&amp;#10;</t>
  </si>
  <si>
    <t>支持按照用户的报表数据格式直接接入数仓数据：不使用标品的数据入仓，实施人员根据用户的自定义报表与数仓的毛利分析标准表对接&amp;#10;当前版本只支持对接星空旗舰版&amp;#10;说明：多个智能体都需要对接数仓时只需要一次对接数仓工作量（2天）</t>
  </si>
  <si>
    <t>毛利分析智能体Pro</t>
  </si>
  <si>
    <t>轻数据仓配置，包括运维部署、连接配置、导入数据空间；</t>
  </si>
  <si>
    <t>在基础版的基础上支持用户编辑分析框架，基础版本、高级版二选一</t>
  </si>
  <si>
    <t>财务分析智能体</t>
  </si>
  <si>
    <t>财务分析智能体配置</t>
  </si>
  <si>
    <t>当前版本只支持对接星空旗舰版&amp;#10;说明：多个智能体都需要对接数仓时只需要一次对接数仓工作量（2天）</t>
  </si>
  <si>
    <t>质量8D智能体</t>
  </si>
  <si>
    <t>质量8D智能体配置</t>
  </si>
  <si>
    <t>1、数据集成；&amp;#10;2、场景测试</t>
  </si>
  <si>
    <t>通过API接口集成业务系统，每多增加一个系统对接需另外评估增加人天量；&amp;#10;说明：暂未有验证客户无法评估人天，如有需要可联系研发沟通</t>
  </si>
  <si>
    <t>ESG智能体</t>
  </si>
  <si>
    <t>ESG信息管理体系配置</t>
  </si>
  <si>
    <t>1、对接配置企业邮箱通知系统；2、配置企业IM通知系统；3、通过API接口对接企业各业务系统（例如HR系统、能源管理系统、ERP等）；4、配置企业ESG指标；5、配置企业ESG定性信息清单。</t>
  </si>
  <si>
    <t>1、2、3由客户方IT和乙方共同完成，每多增加一个系统对接需另外评估增加人天量</t>
  </si>
  <si>
    <t>差旅智能体</t>
  </si>
  <si>
    <t>差旅智能体配置</t>
  </si>
  <si>
    <t>通过预置Agent和大模型实现一站式出差报销</t>
  </si>
  <si>
    <t>评估人天为系统标准功能应用；若需更换其他Agent和大模型以及二开功能，需另外评估人天；此外，支付码企业码、滴滴、泛嘉等平台应用集成实施人天也需另外评估</t>
  </si>
  <si>
    <t>ChatBI</t>
  </si>
  <si>
    <t>ChatBI配置</t>
  </si>
  <si>
    <t>1、明确场景主题需求，2、对应场景主题的数据治理3、应场景主题的语义6件套整理， 4、后端配置实施，数据源接入，主题库配置 5、配置调优）  6、评测：如果效果达到预期，发布上线使用，如果效果不达预期，针对badcase继续进行第5点的配置调优</t>
  </si>
  <si>
    <t>1、2、3由客户方操作，4、5、6由乙方操作；实施人天和报表数量相关, 18人天/报表。建议详细实施人员评估联系苍穹平台研发人员。&amp;#10;</t>
  </si>
  <si>
    <t>知识智能体</t>
  </si>
  <si>
    <t>知识智能体配置</t>
  </si>
  <si>
    <t>1、协同云集成配置 2、术语词典配置3、知识初始化 4、知识内容同步到小云助理</t>
  </si>
  <si>
    <t>知识智能体知识库支持与第三方知识库集成，如需要集成第三方知识库预计开发人天20天</t>
  </si>
  <si>
    <t>翻译服务云</t>
  </si>
  <si>
    <t>翻译平台</t>
  </si>
  <si>
    <t>翻译配置</t>
  </si>
  <si>
    <t>支持快速预翻译、人工翻译和审校，构建和下载客户的多语言补丁</t>
  </si>
  <si>
    <t>评估人天仅为翻译平台的操作，不含文本翻译和校对</t>
  </si>
  <si>
    <t>产品实施工作量小计(人天):</t>
  </si>
  <si>
    <t>用户数</t>
  </si>
  <si>
    <t>客户购买用户</t>
  </si>
  <si>
    <t>用户数增加实施人天（产品实施以客户购买50个用户数为基准）</t>
  </si>
  <si>
    <t>项目难度系数</t>
  </si>
  <si>
    <t>考虑项目实施交付难度，如站点数多，又有生产计划、车间管理、成本核算的项目，可根据项目交付难度，评估实施人天</t>
  </si>
  <si>
    <t>在基本实施人天基础上，增加难度系数的人天</t>
  </si>
  <si>
    <t>多组织实施</t>
  </si>
  <si>
    <t>多组织项目实施</t>
  </si>
  <si>
    <t>在主站产品实施工作量基础上，每增加一个独立核算组织增加的实施人天</t>
  </si>
  <si>
    <t>参考多核算组织业务相似程度系数调整，业务相似程度越高，系数越小</t>
  </si>
  <si>
    <t>产品实施工作量合计(人天):</t>
  </si>
  <si>
    <t>套件内应用分组</t>
  </si>
  <si>
    <t>交付模块</t>
  </si>
  <si>
    <t>核心套件</t>
  </si>
  <si>
    <t>星空旗舰版高级套件</t>
  </si>
  <si>
    <t>基础平台</t>
  </si>
  <si>
    <t>用户管理</t>
  </si>
  <si>
    <t>业务监控</t>
  </si>
  <si>
    <t>轻扩展</t>
  </si>
  <si>
    <t>组织间结算，内部交易管理（调拨业务，跨组织领料）</t>
  </si>
  <si>
    <t>高级财务</t>
  </si>
  <si>
    <t>高级供应链</t>
  </si>
  <si>
    <t>库存计划需结合客户现状，给与库存整体规划方案，包括：仓库规划、库存策略、计划信息整理、计划方案等，并根据分析结构进行调整</t>
  </si>
  <si>
    <t>OMS集成配置：集成参数配置、集成资料映射配置，如：商品、供应商、仓库、计量单位、店铺等；&amp;#10;OMS订单管理：下载和管理OMS系统的销售订单、售后订单等；&amp;#10;OMS库存作业单据管理：下载和管理OMS系统的各类库存单据，如：采购入库、调拨出入库、其他出入库等单据；&amp;#10;应收确认工作台：定义OMS发货汇总生成B2C发货单规则及配置OMS订单应收确认方案；</t>
  </si>
  <si>
    <t>评估为一个OMS系统集成且商品数量不超过1W个时所需人天，每增加一个集成系统需对应增加8个人天</t>
  </si>
  <si>
    <t>国际贸易服务</t>
  </si>
  <si>
    <t>发运服务</t>
  </si>
  <si>
    <t>高级制造</t>
  </si>
  <si>
    <t>汽配行业特性应用</t>
  </si>
  <si>
    <t>扩展套件</t>
  </si>
  <si>
    <t>价格促销业务</t>
  </si>
  <si>
    <t>返利业务</t>
  </si>
  <si>
    <t>渠道分析</t>
  </si>
  <si>
    <t>渠道分析预置了些主题分析：订货、营销费用、客户返利等，角色给权限就可以使用。&amp;#10;如涉及个性配卡片，需要按卡片数量另评估人天，详见评估说明。</t>
  </si>
  <si>
    <t>系统预置卡片开箱即用参照标准人天。&amp;#10;如需扩展开发，人天建议按一个卡片的2种情况评估：&amp;#10;1、单个单据表或者跨单据表，标准过滤。0.5至1天&amp;#10;2、单个单据表或者跨单据表，动态过滤。至少2天</t>
  </si>
  <si>
    <t>冬储资金计息</t>
  </si>
  <si>
    <t>通过返利政策的配置，可实现财务收款与渠道资金收入的账户更新及自动计算冬储账户利息的业务，并且满足不同月份不同返点比例的冬储利息返利。系统自动计算，预留暂估计提，应收兑付等业务处理。</t>
  </si>
  <si>
    <t>农业冬储业务，经销商打款给企业后计息业务，梳理打款入账、计息规则、使用规则。</t>
  </si>
  <si>
    <t>PLM</t>
  </si>
  <si>
    <t>支持按照工厂创建PBOM（或从EBOM转换），建立工厂、工装、资源、（标准）工序库、（标准）工艺路线库，支持维护标准操作活动以及与标准工时绑定进行精益工艺管理。工艺路线内容包含：工序结构维护及引用、加工制造目标、消耗物料维护、使用资源维护、操作活动维护、工艺简图、工艺文档、自定义作业指导书模板等</t>
  </si>
  <si>
    <t>暂时只支持PBOM下推ERP，不支持工艺路线、资源等数据下推。</t>
  </si>
  <si>
    <t>产品数据管理（产品库）</t>
  </si>
  <si>
    <t>产品数据管理</t>
  </si>
  <si>
    <t>以产品为维度，对产品开发过程中的数据（包含物料、图文档、BOM、设计变更、工艺等）进行汇总，以文件夹方式进行管理</t>
  </si>
  <si>
    <t>系统预置数据库模板可直接引用，包含产品数据库架构、权限定义。同时支持模板自定义。</t>
  </si>
  <si>
    <t>资源库</t>
  </si>
  <si>
    <t>除产品数据外，每个产品开发所需的通用件、标准件、元器件等公共数据以资源库的形式存放</t>
  </si>
  <si>
    <t>Catia集成</t>
  </si>
  <si>
    <t>设计软件CATIA中，通过接口将图纸导入到系统中，图纸直接生成EBOM并建立驱动关系</t>
  </si>
  <si>
    <t>Caxa集成</t>
  </si>
  <si>
    <t>设计软件CAXA（二维）中，通过接口将图纸导入到系统中，图纸直接生成EBOM并建立驱动关系</t>
  </si>
  <si>
    <t>PADS集成</t>
  </si>
  <si>
    <t>设计软件PADS中，通过接口将图纸导入到系统中，图纸直接生成PCBA下挂电子元器件的单层EBOM结构并建立驱动关系</t>
  </si>
  <si>
    <t>电子元器件的识别可通过上传时匹配方式。使用过程中需要客户规划统一元器件图形库及封装库。</t>
  </si>
  <si>
    <t>Cadence 集成</t>
  </si>
  <si>
    <t>设计软件Cadence中，通过接口将图纸导入到系统中，图纸直接生成PCBA下挂电子元器件的单层EBOM结构并建立驱动关系</t>
  </si>
  <si>
    <t>工作流</t>
  </si>
  <si>
    <t>通过工作流实现审批对象的生命周期状态变化、版本升版，以及工作流设计及发布、流程中的会签、通知等基本功能。</t>
  </si>
  <si>
    <t>按照流程的复杂程度灵活评估所需人天。每增加一个5个节点内的流程建议按照0.5人天计。标准实施人天按10个流程计。</t>
  </si>
  <si>
    <t>中望CAD专业版集成</t>
  </si>
  <si>
    <t>支持专业版2023（二维）集成，包含设计软件内图纸的检出、检入、上传、关联物料填写标题栏、明细栏等功能，图纸导入后生成图纸结构，并能生成设计BOM结构</t>
  </si>
  <si>
    <t>支持CREO集成，包含设计软件内图纸的检出、检入、上传、调用物料库及批量填写物料属性，图纸导入后生成图纸结构，并能生成设计BOM结构</t>
  </si>
  <si>
    <t>产品路标管理</t>
  </si>
  <si>
    <t>构建标准化数据模型（含战略、版本、需求等核心字段与关联关系）；建立与需求管理、项目管理、问题管理的关联；</t>
  </si>
  <si>
    <t>研发问题管理</t>
  </si>
  <si>
    <t>建立问题库，可实现通过工作流推动问题的生命周期状态变化，可实现按照企业要求定制问题界面</t>
  </si>
  <si>
    <t>研发评审管理</t>
  </si>
  <si>
    <t>可实现TR、DCP及GR评审，可预置各类评审不同评审点的评审要素，可通过工作流推动TR评审过点。</t>
  </si>
  <si>
    <t>高级SRM</t>
  </si>
  <si>
    <t>采购商城(SRM)</t>
  </si>
  <si>
    <t>高级招标管理(SRM)</t>
  </si>
  <si>
    <t>全球计税管理</t>
  </si>
  <si>
    <t>全球计税配置、申报</t>
  </si>
  <si>
    <t>计税方案、涉税数据采集等配置，税务申报配置</t>
  </si>
  <si>
    <t>一个国家的单个税号计税标准人天为20，每增加一个税号增加3人天；每增加一个国家计税，增加20人天</t>
  </si>
  <si>
    <t>费用核算管理</t>
  </si>
  <si>
    <t>掌上资金</t>
  </si>
  <si>
    <t>移动查询资金头寸、资金收支等情况</t>
  </si>
  <si>
    <t>研发文档查阅</t>
  </si>
  <si>
    <t>合同中心</t>
  </si>
  <si>
    <t>合同签订：合同基础信息、合同模板、合同起草、合同审批流程设置</t>
  </si>
  <si>
    <t>审批流程设置提供设置指导</t>
  </si>
  <si>
    <t>为企业提供线上协作评审合同的解决方案，支持邀请协作、评审留言、编辑留痕、版本管理及文本对比。包括：合同评审规则设置、合同审批流程设置。</t>
  </si>
  <si>
    <t>包含应用：全球组织架构、全球合并、本地化内容包、多国贸易、国际化基础能力</t>
  </si>
  <si>
    <t>BOSS助理移动端</t>
  </si>
  <si>
    <t>指标平台</t>
  </si>
  <si>
    <t>企业工商信息查询</t>
  </si>
  <si>
    <t>招投标信息查询（普通版）</t>
  </si>
  <si>
    <t>电子档案云</t>
  </si>
  <si>
    <t>集团财务</t>
  </si>
  <si>
    <t>报账工作台</t>
  </si>
  <si>
    <t>基于标准产品功能，主要功能包括：全员应用对应财务云入口，对应费用核算、固定资产、出纳、应收、应付进行全员的报账新增、查询、审批的业务处理的流程梳理和用户培训工作。</t>
  </si>
  <si>
    <t>基于标准产品功能，为企业绩效云-预算编制入口，主要功能包括：全员预算编制、执行情况查询、预算调整、调剂申请。标准实施人天为一个业态统一模板设置，每增加一个不同业务板块标准人天增加5人天</t>
  </si>
  <si>
    <t>财务共享任务中心</t>
  </si>
  <si>
    <t>基于标准产品功能，基于统一财务核算体系下实现3个核算主体的常规使用单一共享中心基本功能，无特殊场景需求的基础资料、工作流配置、测试与培训工作。前提客户有确认的组织架构、明确的职责划分与工作流程，针对总账、固定资产、出纳、应收、应付、费用等财务系统低于50项任务分配规则的配置工作。</t>
  </si>
  <si>
    <t>财务共享运营管理</t>
  </si>
  <si>
    <t>基于标准产品功能，基于统一财务核算体系下实现3个核算主体的对单一共享中心运营需求的基本功能使用，包括看板、信用管理、质量管理，客户有明确的运营管理标准，即实际管理中明确的质检方案、检查点与扣分规则。</t>
  </si>
  <si>
    <t>共享洞察移动应用</t>
  </si>
  <si>
    <t>1、在云之家/钉钉/企业微信创建应用；2、在云之家/钉钉/企业微信中设置共享洞察移动应用所需的参数信息；3、在公共配置方案中配置云之家/钉钉/企业微信的登录信息及参数信息；4、调试测试及验证</t>
  </si>
  <si>
    <t>影像集成</t>
  </si>
  <si>
    <t>基于标准产品功能，基于统一财务核算体系下实现3个核算主体，实现企业对影像扫描的集成。假设前提为目前支持的发票云、国信合成、道可维斯影像单一接口，不包括其他星瀚不支持的系统。假设实施工作为配置扫描点、扫描员、影像编码、影像接口数据接口收集配置，收集数据需1人天，配置需要2人天，测试、培训与上线1人天。</t>
  </si>
  <si>
    <t>智能数据洞察</t>
  </si>
  <si>
    <r>
      <rPr>
        <sz val="9"/>
        <color theme="1"/>
        <rFont val="微软雅黑"/>
        <charset val="134"/>
      </rPr>
      <t>评估人天基准：费用报销（含招待、会议等）、差旅报销、对公报销、员工借款、应付单、付款申请6类单据；每个单据仅财务审核节点使用；平均每个单据15个检查项（含单据检查、票据检查、账表查询、事件重复、扩展检查项等类型检查项）；检查项复杂程度包括简单配置、高级函数等各类型&amp;#10;&amp;#10;1、业务调研：&amp;#10;（1）确认需要使用智能数据洞察的业务场景，包括单据类型、流程节点等（1人天）&amp;#10;（2）确认每种业务场景具体的检查内容及规则（5人天，与业务场景数量相关）&amp;#10;2、业务梳理：按照业务场景及内容规则需求，梳理成系统可配置的决策方案和检查项清单，并确认控制细节（2人天，与规则数量相关）&amp;#10;3、系统配置：配置决策方案（2人天，与决策方案数量、规则数量相关）&amp;#10;4、测试及配置调试（6人天）&amp;#10;</t>
    </r>
    <r>
      <rPr>
        <b/>
        <sz val="9"/>
        <color theme="1"/>
        <rFont val="微软雅黑"/>
        <charset val="134"/>
      </rPr>
      <t>5、无法实现的检查项通过扩展检查项进行开发处理（预估1-5人天，按需</t>
    </r>
    <r>
      <rPr>
        <sz val="9"/>
        <color theme="1"/>
        <rFont val="微软雅黑"/>
        <charset val="134"/>
      </rPr>
      <t>）供参考&amp;#10;6、测试（3人天）&amp;#10;7、生产环境上线及验证（3人天）</t>
    </r>
  </si>
  <si>
    <t>财务报表</t>
  </si>
  <si>
    <t>基于标准产品功能，基于统一财务核算体系下实现3个核算主体的4张个体法定报表，不包括其他管理报表。</t>
  </si>
  <si>
    <t>基于标准产品功能，基于统一财务核算体系下实现3个核算主体，实现对费用核算各项单据的预算编制与调整（调整、调剂）、预算执行分析、费用预算体系配置（维度、模板业务规则）的梳理配置与培训。包括与外部数据集成基于标准产品功能的配置、集成配置。</t>
  </si>
  <si>
    <t>全面预算</t>
  </si>
  <si>
    <t>基于标准产品功能，基于统一财务核算体系下实现3个核算主体，&amp;#10;"假设前提：客户预算体系相对健全，数据逻辑清晰；无多套管理口径；覆盖财务预算、业务预算、资本预算，无较复杂的生产制造/bom/成本；需求调研与报告确认：10人天，蓝图编写与方案确认：10人天，维度及维度成员搭建：2人天，数据集搭建：1人天"&amp;#10;"假设前提：预算编制需求为分级编制、逐级汇总，无目标分解、预算细化、滚动预算、归口编制，多币别、多版本管理等较复杂场景；50张预算编制表，有预算调整的需求，报表模板搭建：12人天，报表编制验证及调整：10人天"&amp;#10;"假设前提：涉及业务规则200条，20条勾稽关系，业务规则编写：5人天，业务规则验证：5人天，勾稽关系配置：1人天，勾稽关系验证：1人天"&amp;#10;"假设前提：客户报账为星瀚系统，总额控制、无累计控制需求，控制策略梳理和确认：4人天，系统配置及验证：5人天"&amp;#10;"假设前提：客户预算分析表样固定。数据源来自星瀚系统内部，无定基分析、指标分析等复杂场景；分析表配置：5人天，分析表验证：3人天"，&amp;#10;"假设前提：预算用户100个，权限设计：3人天，权限分配及验证：2人天"&amp;#10;"假设前提：10个审批流，每个审批流按行政组织层级审批，审批节点5个左右。不含归口审批、审批中修改、行审批、移动端审批等特殊需求，审批流配置：4人天，审批流验证：2人天"&amp;#10;"假设前提：客户配合度好、关键用户参与指导，UAT测试：5人天，培训资料准备及上线培训：5人天"</t>
  </si>
  <si>
    <t>EPM数据管理</t>
  </si>
  <si>
    <t>单个采集任务方案：&amp;#10;1、场景梳理：确认数据来源和目标（1人天）&amp;#10;2、维度成员映射（1人天）&amp;#10;3、清洗转换规则（1人天）&amp;#10;4、测试数据（1-2人天）</t>
  </si>
  <si>
    <t>EPM账务管理</t>
  </si>
  <si>
    <t>1、凭证池，3-4人天：&amp;#10;（1）梳理业务场景，确认凭证字段（1人天）&amp;#10;（2）确认所需采集任务（1人天，单个采集方案配置参考EPM数据管理）&amp;#10;（3）测试及调试（1-2人天）&amp;#10;2、凭证对账，4-5人天：&amp;#10;（1）梳理对账的业务场景，确认凭证字段（1人天）&amp;#10;（2）配置对账模板、抵销模板（1人天）&amp;#10;（3）确认所需凭证采集方案及分录推送方案（1人天，单个采集方案配置参考EPM数据管理）&amp;#10;（4）测试及调试（1-2人天）</t>
  </si>
  <si>
    <t>基于标准产品功能，基于统一财务核算体系下实现3个核算主体，4张法定报表，统一一套法定架构（中等难度股权梳理）、数据建模（中等维度），报表设计（中等），折算逻辑（标准折算），调整抵消（权益抵消、对账抵消模板不超过15个），计算规则15个，难度中等；多维查询分析4个，权限配置（中等），组织视图一套，权限管理配置、客户培训及上线2个月指导各2.5天。</t>
  </si>
  <si>
    <t>管理报告</t>
  </si>
  <si>
    <t>假设前端业财的颗粒度能够支撑管理报表的自动出具与合并抵销需求，基于标准产品功能，基于统一财务核算体系下实现3个核算主体，3张管理报表，统一一套管理架构（中等难度股权梳理）、数据建模（中等维度），报表设计（中等），折算逻辑（标准折算），调整抵消（权益抵销、对账抵销规则不超过15个），分摊分配规则不超过10个，难度中等；多维查询分析4个，权限配置（中等），组织视图一套，权限管理配置、客户培训及上线2个月指导。</t>
  </si>
  <si>
    <t>披露管理</t>
  </si>
  <si>
    <t>基于标准产品功能，基于统一财务核算体系下实现一套披露体系，包括一套指标体系创建、需求梳理、方案撰写、模板样式设置、权限配置、指标配置。标准实施人天评估基于企业创建一套披露体系所需的需求沟通、方案撰写、权限、模板、指标配置工作量，包括100个财务指标。在此基础上披露体系每增加100个财务指标增加1个人天。</t>
  </si>
  <si>
    <t>EPM客户端</t>
  </si>
  <si>
    <t>EPM客户端为报表系统的辅助应用，以用户习惯的方式在Excel中对报表数据进行操作，基于统一财务核算体系下主要功能实现：&amp;#10;1、即席分析：数据拖拉拽的快速多维分析，数据对比。&amp;#10;2、报表编制，可在线和离线报表编制。&amp;#10;3、自定义函数，可通过函数公式的方式灵活实现报表数据的获取及提交。</t>
  </si>
  <si>
    <t>合同审查智能体Pro</t>
  </si>
  <si>
    <t>合同审查智能体Pro配置</t>
  </si>
  <si>
    <t>1、检索提示词维护；&amp;#10;2、审查提示词维护；&amp;#10;3、大模型参数配置等事项；&amp;#10;4、客户自定义审查清单配置。</t>
  </si>
  <si>
    <t>系统预设好6类常用审查清单&amp;#10;如果用户购买Agent平台，需要开通Agent平台相关功能&amp;#10;分析客户审查清单，辅助指导配置&amp;#10;基础版、高级版二选一</t>
  </si>
  <si>
    <t>星空旗舰版基础套件</t>
  </si>
  <si>
    <t>固定资产采购流程，采购申请→采购订单→采购收货→采购转固→采购结算</t>
  </si>
  <si>
    <t>MSProject及Excel导入、系统内创建，支持里程碑计划、分级协同编制计划，支持任务填报、批量工作汇报、项目周报，实现进度、成果、效率、工时投入等数据看板</t>
  </si>
  <si>
    <t>小K差旅</t>
  </si>
  <si>
    <t>账上资金</t>
  </si>
  <si>
    <t xml:space="preserve">移动查询资金头寸、资金收支等情况 </t>
  </si>
  <si>
    <t>星空旗舰版专业套件</t>
  </si>
  <si>
    <t>采购协同</t>
  </si>
  <si>
    <t>公共大数据</t>
  </si>
  <si>
    <t>交付包</t>
  </si>
  <si>
    <t>包含特性</t>
  </si>
  <si>
    <t>基础财务包</t>
  </si>
  <si>
    <t>总账、报表、内部往来协同</t>
  </si>
  <si>
    <t>1.总账初始化-凭证-账簿-月末处理-内置报表查询&amp;#10;2.基于财务法定三大报表的项目取数、报表项目重分类、表间勾稽关系等设置&amp;#10;3.面向企业内部各组织基于总账凭证的内部往来核算、勾稽对账、核销的内部往来协同管理</t>
  </si>
  <si>
    <t>1.如多组织需使用合并账簿，则增加人天1天&amp;#10;2.基于多组织及内部管理需求构建的多套核算体系，需单独评估</t>
  </si>
  <si>
    <t>财资包</t>
  </si>
  <si>
    <t>总账、报表、固定资产、出纳管理、智能会计平台、智能结账平台、内部往来协同</t>
  </si>
  <si>
    <t>1.基于企业固定资产管理办法的规范性要求，梳理企业资产分类、编码规则、变动方式、资产位置等基础资料&amp;#10;2.满足企业固定资产初始化、工程转固、变更、清理、调拨、盘点、价值折旧等管理活动&amp;#10;3.固定资产凭证模板设置及与总账对账</t>
  </si>
  <si>
    <t>财务核算包</t>
  </si>
  <si>
    <t>总账、报表、固定资产、票据管理、应收款管理、应付款管理、出纳管理、发票管理、智能会计平台、智能结账平台、内部往来协同</t>
  </si>
  <si>
    <t>1.包括应收、应付、票据、出纳、发票的初始化、日常业务（财务应收应付、暂估、收入及付款确认、结算、核销）处理，及期末结账&amp;#10;2.固定资产业务初始化、工程转固、变更、清理、调拨、盘点、价值折旧等管理活动&amp;#10;3.各业务模块通过智能会计平台的凭证模板生成总账凭证，出具三大报表</t>
  </si>
  <si>
    <t>1.如多组织需使用合并账簿，则增加人天1天&amp;#10;2.基于多组织及内部管理需求构建的多套核算体系，需单独评估&amp;#10;3.考虑是否与发票云联用&amp;#10;4.含收款认领功能需另行评估</t>
  </si>
  <si>
    <t>业财一体化包</t>
  </si>
  <si>
    <t>总账、报表、固定资产、票据管理、应收款管理、应付款管理、出纳管理、库存管理、采购管理、销售管理、智能会计平台、智能结账平台、信用管理、组织间结算、合同管理、存货核算、发票管理</t>
  </si>
  <si>
    <t>1.销售、采购、库存的基础资料设置、价格管理、基本业务处理，销售/采购合同全生命周期管理&amp;#10;2.包括应收、应付、票据、出纳、发票的初始化、日常业务（财务应收应付、暂估、收入及付款确认、结算、核销）处理，及期末结账&amp;#10;3.固定资产业务初始化、工程转固、变更、清理、调拨、盘点、价值折旧等管理活动&amp;#10;4.各业务模块通过智能会计平台的凭证模板生成总账凭证，出具三大报表</t>
  </si>
  <si>
    <t>1.如多组织需使用合并账簿，则增加人天1天&amp;#10;2.基于多组织及内部管理需求构建的多套核算体系，需单独评估&amp;#10;3.考虑是否与发票云联用&amp;#10;4.含收款认领功能需另行评估&amp;#10;5.需考虑客户合同类型、模板的数量进行调整</t>
  </si>
  <si>
    <t>费控包</t>
  </si>
  <si>
    <t>人人费用、人人差旅、对公费用、费用核算、发票云（收票）、工作流-流量版</t>
  </si>
  <si>
    <t>1、面向企业全员以及财务核算用户，提供完整的费用报销、差旅报销等全流程管控，支持从费用申请、借款到费用报销、退款及费用二次分摊业务，实现企业费用核算管理及与总账凭证集成&amp;#10;2、实现合同台账、预付款、对公报销付款业务流程</t>
  </si>
  <si>
    <t>多组织下需结合发票云税号个数综合评估</t>
  </si>
  <si>
    <t>供应链包</t>
  </si>
  <si>
    <t>库存管理、采购管理、销售管理、合同管理</t>
  </si>
  <si>
    <t>销售、采购、库存的基础资料设置、价格管理、基本业务处理，销售/采购合同全生命周期管理</t>
  </si>
  <si>
    <t>在标准实施人天工作量的基础上，根据实施组织数量区间，按系数值增加的人天</t>
  </si>
  <si>
    <t>1≤组织数量≤5，系数值1；&amp;#10;5＜组织数量≤10，系数值1.2；&amp;#10;10＜组织数量≤20，系数值1.4；&amp;#10;20＜组织数量≤50，系数值1.6；&amp;#10;组织数量＞50，单独评估。</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</si>
</sst>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
  </numFmts>
  <fonts count="36">
    <font>
      <sz val="11"/>
      <color theme="1"/>
      <name val="宋体"/>
      <charset val="134"/>
      <scheme val="minor"/>
    </font>
    <font>
      <b/>
      <sz val="10"/>
      <color theme="1"/>
      <name val="微软雅黑"/>
      <charset val="134"/>
    </font>
    <font>
      <b/>
      <sz val="10"/>
      <color rgb="FF000000"/>
      <name val="微软雅黑"/>
      <charset val="134"/>
    </font>
    <font>
      <b/>
      <sz val="9"/>
      <color rgb="FF000000"/>
      <name val="微软雅黑"/>
      <charset val="134"/>
    </font>
    <font>
      <sz val="9"/>
      <color rgb="FF000000"/>
      <name val="微软雅黑"/>
      <charset val="134"/>
    </font>
    <font>
      <sz val="9"/>
      <color theme="1"/>
      <name val="微软雅黑"/>
      <charset val="134"/>
    </font>
    <font>
      <b/>
      <sz val="9"/>
      <color theme="1"/>
      <name val="微软雅黑"/>
      <charset val="134"/>
    </font>
    <font>
      <b/>
      <sz val="14"/>
      <color theme="1"/>
      <name val="微软雅黑"/>
      <charset val="134"/>
    </font>
    <font>
      <sz val="9"/>
      <color theme="1"/>
      <name val="宋体"/>
      <charset val="134"/>
    </font>
    <font>
      <sz val="10"/>
      <color theme="1"/>
      <name val="宋体"/>
      <charset val="134"/>
    </font>
    <font>
      <u/>
      <sz val="10"/>
      <color theme="1"/>
      <name val="宋体"/>
      <charset val="134"/>
    </font>
    <font>
      <sz val="9"/>
      <color rgb="FFFF0000"/>
      <name val="微软雅黑"/>
      <charset val="134"/>
    </font>
    <font>
      <b/>
      <sz val="12"/>
      <color rgb="FFFFFFFF"/>
      <name val="微软雅黑"/>
      <charset val="134"/>
    </font>
    <font>
      <b/>
      <sz val="9"/>
      <color rgb="FFFFFFFF"/>
      <name val="微软雅黑"/>
      <charset val="134"/>
    </font>
    <font>
      <b/>
      <sz val="11"/>
      <color theme="1"/>
      <name val="微软雅黑"/>
      <charset val="134"/>
    </font>
    <font>
      <sz val="12"/>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00B0F0"/>
        <bgColor indexed="64"/>
      </patternFill>
    </fill>
    <fill>
      <patternFill patternType="solid">
        <fgColor rgb="FFCCFFCC"/>
        <bgColor indexed="64"/>
      </patternFill>
    </fill>
    <fill>
      <patternFill patternType="solid">
        <fgColor rgb="FFC6D9F1"/>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000000"/>
      </top>
      <bottom style="thin">
        <color rgb="FF000000"/>
      </bottom>
      <diagonal/>
    </border>
    <border>
      <left style="thin">
        <color rgb="FFFFFFFF"/>
      </left>
      <right style="thin">
        <color rgb="FFFFFFFF"/>
      </right>
      <top style="thin">
        <color rgb="FFFFFFFF"/>
      </top>
      <bottom/>
      <diagonal/>
    </border>
    <border>
      <left style="thin">
        <color rgb="FFC6C6C6"/>
      </left>
      <right style="thin">
        <color rgb="FF000000"/>
      </right>
      <top style="thin">
        <color rgb="FF000000"/>
      </top>
      <bottom style="thin">
        <color rgb="FF000000"/>
      </bottom>
      <diagonal/>
    </border>
    <border>
      <left style="thin">
        <color rgb="FFC6C6C6"/>
      </left>
      <right style="thin">
        <color rgb="FF000000"/>
      </right>
      <top style="thin">
        <color rgb="FFC6C6C6"/>
      </top>
      <bottom style="thin">
        <color rgb="FF000000"/>
      </bottom>
      <diagonal/>
    </border>
    <border>
      <left/>
      <right style="thin">
        <color rgb="FFFFFFFF"/>
      </right>
      <top style="thin">
        <color rgb="FFFFFFFF"/>
      </top>
      <bottom style="thin">
        <color rgb="FFFFFFFF"/>
      </bottom>
      <diagonal/>
    </border>
    <border>
      <left style="thin">
        <color rgb="FFC6C6C6"/>
      </left>
      <right style="thin">
        <color rgb="FF000000"/>
      </right>
      <top style="thin">
        <color rgb="FFC6C6C6"/>
      </top>
      <bottom style="thin">
        <color rgb="FFC6C6C6"/>
      </bottom>
      <diagonal/>
    </border>
    <border>
      <left style="thin">
        <color rgb="FFC6C6C6"/>
      </left>
      <right style="thin">
        <color rgb="FF000000"/>
      </right>
      <top style="thin">
        <color rgb="FF000000"/>
      </top>
      <bottom style="thin">
        <color rgb="FFC6C6C6"/>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C6C6C6"/>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FFFFFF"/>
      </right>
      <top style="thin">
        <color rgb="FF000000"/>
      </top>
      <bottom style="thin">
        <color rgb="FF000000"/>
      </bottom>
      <diagonal/>
    </border>
    <border>
      <left/>
      <right style="thin">
        <color rgb="FFFFFFFF"/>
      </right>
      <top style="thin">
        <color rgb="FF000000"/>
      </top>
      <bottom style="thin">
        <color rgb="FFFFFFFF"/>
      </bottom>
      <diagonal/>
    </border>
    <border>
      <left style="medium">
        <color rgb="FF000000"/>
      </left>
      <right style="thin">
        <color rgb="FFC6C6C6"/>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7" borderId="3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1" applyNumberFormat="0" applyFill="0" applyAlignment="0" applyProtection="0">
      <alignment vertical="center"/>
    </xf>
    <xf numFmtId="0" fontId="23" fillId="0" borderId="31" applyNumberFormat="0" applyFill="0" applyAlignment="0" applyProtection="0">
      <alignment vertical="center"/>
    </xf>
    <xf numFmtId="0" fontId="24" fillId="0" borderId="32" applyNumberFormat="0" applyFill="0" applyAlignment="0" applyProtection="0">
      <alignment vertical="center"/>
    </xf>
    <xf numFmtId="0" fontId="24" fillId="0" borderId="0" applyNumberFormat="0" applyFill="0" applyBorder="0" applyAlignment="0" applyProtection="0">
      <alignment vertical="center"/>
    </xf>
    <xf numFmtId="0" fontId="25" fillId="8" borderId="33" applyNumberFormat="0" applyAlignment="0" applyProtection="0">
      <alignment vertical="center"/>
    </xf>
    <xf numFmtId="0" fontId="26" fillId="9" borderId="34" applyNumberFormat="0" applyAlignment="0" applyProtection="0">
      <alignment vertical="center"/>
    </xf>
    <xf numFmtId="0" fontId="27" fillId="9" borderId="33" applyNumberFormat="0" applyAlignment="0" applyProtection="0">
      <alignment vertical="center"/>
    </xf>
    <xf numFmtId="0" fontId="28" fillId="10" borderId="35" applyNumberFormat="0" applyAlignment="0" applyProtection="0">
      <alignment vertical="center"/>
    </xf>
    <xf numFmtId="0" fontId="29" fillId="0" borderId="36" applyNumberFormat="0" applyFill="0" applyAlignment="0" applyProtection="0">
      <alignment vertical="center"/>
    </xf>
    <xf numFmtId="0" fontId="30" fillId="0" borderId="3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cellStyleXfs>
  <cellXfs count="238">
    <xf numFmtId="0" fontId="0" fillId="0" borderId="0" xfId="0"/>
    <xf numFmtId="0" fontId="0" fillId="0" borderId="0" xfId="0" applyAlignment="1">
      <alignment wrapText="1"/>
    </xf>
    <xf numFmtId="0" fontId="0" fillId="0" borderId="0" xfId="0" applyAlignment="1">
      <alignment horizontal="center"/>
    </xf>
    <xf numFmtId="3" fontId="0" fillId="0" borderId="0" xfId="0" applyNumberFormat="1" applyAlignment="1">
      <alignment horizontal="center"/>
    </xf>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3" borderId="1" xfId="0" applyFont="1" applyFill="1" applyBorder="1" applyAlignment="1">
      <alignment horizontal="center" wrapText="1"/>
    </xf>
    <xf numFmtId="0" fontId="4" fillId="3" borderId="1" xfId="0" applyFont="1" applyFill="1" applyBorder="1" applyAlignment="1">
      <alignment horizontal="left" wrapText="1"/>
    </xf>
    <xf numFmtId="3" fontId="3" fillId="3" borderId="3" xfId="0" applyNumberFormat="1" applyFont="1" applyFill="1" applyBorder="1" applyAlignment="1">
      <alignment horizontal="center" wrapText="1"/>
    </xf>
    <xf numFmtId="0" fontId="4" fillId="3" borderId="3" xfId="0" applyFont="1" applyFill="1" applyBorder="1" applyAlignment="1">
      <alignment horizontal="center" wrapText="1"/>
    </xf>
    <xf numFmtId="3" fontId="3" fillId="3" borderId="4" xfId="0" applyNumberFormat="1" applyFont="1" applyFill="1" applyBorder="1" applyAlignment="1">
      <alignment horizontal="center" wrapText="1"/>
    </xf>
    <xf numFmtId="0" fontId="4" fillId="3" borderId="4" xfId="0" applyFont="1" applyFill="1" applyBorder="1" applyAlignment="1">
      <alignment horizontal="center" wrapText="1"/>
    </xf>
    <xf numFmtId="0" fontId="3" fillId="4" borderId="1" xfId="0" applyFont="1" applyFill="1" applyBorder="1" applyAlignment="1">
      <alignment horizontal="center"/>
    </xf>
    <xf numFmtId="0" fontId="5" fillId="3" borderId="1" xfId="0" applyFont="1" applyFill="1" applyBorder="1" applyAlignment="1">
      <alignment horizontal="center"/>
    </xf>
    <xf numFmtId="0" fontId="6" fillId="3" borderId="1" xfId="0" applyFont="1" applyFill="1" applyBorder="1" applyAlignment="1">
      <alignment horizontal="center"/>
    </xf>
    <xf numFmtId="0" fontId="6" fillId="3" borderId="1" xfId="0" applyFont="1" applyFill="1" applyBorder="1" applyAlignment="1">
      <alignment horizontal="left"/>
    </xf>
    <xf numFmtId="3" fontId="2" fillId="2" borderId="1" xfId="0" applyNumberFormat="1" applyFont="1" applyFill="1" applyBorder="1" applyAlignment="1">
      <alignment horizontal="center" wrapText="1"/>
    </xf>
    <xf numFmtId="3" fontId="4" fillId="3" borderId="1" xfId="0" applyNumberFormat="1" applyFont="1" applyFill="1" applyBorder="1" applyAlignment="1">
      <alignment horizontal="center"/>
    </xf>
    <xf numFmtId="0" fontId="3" fillId="0" borderId="1" xfId="0" applyFont="1" applyBorder="1" applyAlignment="1">
      <alignment horizontal="center"/>
    </xf>
    <xf numFmtId="0" fontId="5" fillId="3" borderId="1" xfId="0" applyFont="1" applyFill="1" applyBorder="1" applyAlignment="1">
      <alignment horizontal="left" wrapText="1"/>
    </xf>
    <xf numFmtId="3" fontId="3" fillId="4" borderId="1" xfId="0" applyNumberFormat="1" applyFont="1" applyFill="1" applyBorder="1" applyAlignment="1">
      <alignment horizontal="center"/>
    </xf>
    <xf numFmtId="3" fontId="4" fillId="0" borderId="1" xfId="0" applyNumberFormat="1" applyFont="1" applyBorder="1" applyAlignment="1">
      <alignment horizontal="center"/>
    </xf>
    <xf numFmtId="3" fontId="2" fillId="2" borderId="5" xfId="0" applyNumberFormat="1" applyFont="1" applyFill="1" applyBorder="1" applyAlignment="1">
      <alignment horizontal="center" wrapText="1"/>
    </xf>
    <xf numFmtId="3" fontId="3" fillId="3" borderId="1" xfId="0" applyNumberFormat="1" applyFont="1" applyFill="1" applyBorder="1" applyAlignment="1">
      <alignment horizontal="center"/>
    </xf>
    <xf numFmtId="3" fontId="3" fillId="3" borderId="5" xfId="0" applyNumberFormat="1" applyFont="1" applyFill="1" applyBorder="1" applyAlignment="1">
      <alignment horizontal="center"/>
    </xf>
    <xf numFmtId="3" fontId="3" fillId="4" borderId="5" xfId="0" applyNumberFormat="1" applyFont="1" applyFill="1" applyBorder="1" applyAlignment="1">
      <alignment horizontal="center"/>
    </xf>
    <xf numFmtId="0" fontId="0" fillId="0" borderId="0" xfId="0" applyAlignment="1"/>
    <xf numFmtId="3" fontId="0" fillId="0" borderId="0" xfId="0" applyNumberFormat="1" applyAlignment="1">
      <alignment horizontal="center" wrapText="1"/>
    </xf>
    <xf numFmtId="3" fontId="0" fillId="0" borderId="0" xfId="0" applyNumberFormat="1" applyAlignment="1">
      <alignment wrapText="1"/>
    </xf>
    <xf numFmtId="176" fontId="0" fillId="0" borderId="0" xfId="0" applyNumberFormat="1" applyAlignment="1"/>
    <xf numFmtId="1" fontId="0" fillId="0" borderId="0" xfId="0" applyNumberFormat="1" applyAlignment="1"/>
    <xf numFmtId="3" fontId="0" fillId="0" borderId="0" xfId="0" applyNumberFormat="1" applyAlignment="1"/>
    <xf numFmtId="0" fontId="5" fillId="0" borderId="6" xfId="0" applyFont="1" applyBorder="1" applyAlignment="1">
      <alignment horizontal="center"/>
    </xf>
    <xf numFmtId="0" fontId="7" fillId="0" borderId="6" xfId="0" applyFont="1" applyBorder="1" applyAlignment="1">
      <alignment horizontal="center"/>
    </xf>
    <xf numFmtId="0" fontId="1" fillId="0" borderId="0" xfId="0" applyFont="1" applyBorder="1" applyAlignment="1">
      <alignment horizontal="center" wrapText="1"/>
    </xf>
    <xf numFmtId="0" fontId="6" fillId="3" borderId="2" xfId="0" applyFont="1" applyFill="1" applyBorder="1" applyAlignment="1">
      <alignment horizontal="center" vertical="top" wrapText="1"/>
    </xf>
    <xf numFmtId="0" fontId="5" fillId="3" borderId="2" xfId="0" applyFont="1" applyFill="1" applyBorder="1" applyAlignment="1">
      <alignment horizontal="center" vertical="top" wrapText="1"/>
    </xf>
    <xf numFmtId="0" fontId="6" fillId="3" borderId="3" xfId="0" applyFont="1" applyFill="1" applyBorder="1" applyAlignment="1">
      <alignment horizontal="center" wrapText="1"/>
    </xf>
    <xf numFmtId="0" fontId="5" fillId="3" borderId="3" xfId="0" applyFont="1" applyFill="1" applyBorder="1" applyAlignment="1">
      <alignment horizontal="center" wrapText="1"/>
    </xf>
    <xf numFmtId="0" fontId="8" fillId="0" borderId="0" xfId="0" applyFont="1" applyBorder="1" applyAlignment="1">
      <alignment horizontal="center"/>
    </xf>
    <xf numFmtId="0" fontId="6" fillId="3" borderId="3"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vertical="top"/>
    </xf>
    <xf numFmtId="0" fontId="5" fillId="3" borderId="4" xfId="0" applyFont="1" applyFill="1" applyBorder="1" applyAlignment="1">
      <alignment horizontal="center"/>
    </xf>
    <xf numFmtId="0" fontId="5" fillId="0" borderId="0" xfId="0" applyFont="1" applyBorder="1" applyAlignment="1">
      <alignment horizontal="center"/>
    </xf>
    <xf numFmtId="0" fontId="5" fillId="3" borderId="1" xfId="0" applyFont="1" applyFill="1" applyBorder="1" applyAlignment="1">
      <alignment horizontal="center" vertical="top" wrapText="1"/>
    </xf>
    <xf numFmtId="3" fontId="5" fillId="3" borderId="1" xfId="0" applyNumberFormat="1" applyFont="1" applyFill="1" applyBorder="1" applyAlignment="1">
      <alignment horizontal="center" wrapText="1"/>
    </xf>
    <xf numFmtId="3" fontId="7" fillId="0" borderId="6" xfId="0" applyNumberFormat="1" applyFont="1" applyBorder="1" applyAlignment="1">
      <alignment horizontal="center" wrapText="1"/>
    </xf>
    <xf numFmtId="0" fontId="7" fillId="0" borderId="6" xfId="0" applyFont="1" applyBorder="1" applyAlignment="1">
      <alignment horizontal="center" wrapText="1"/>
    </xf>
    <xf numFmtId="3" fontId="1" fillId="2" borderId="1" xfId="0" applyNumberFormat="1" applyFont="1" applyFill="1" applyBorder="1" applyAlignment="1">
      <alignment horizontal="center" wrapText="1"/>
    </xf>
    <xf numFmtId="0" fontId="5" fillId="3" borderId="1" xfId="0" applyFont="1" applyFill="1" applyBorder="1" applyAlignment="1">
      <alignment horizontal="center" wrapText="1"/>
    </xf>
    <xf numFmtId="3" fontId="5" fillId="3" borderId="1" xfId="0" applyNumberFormat="1" applyFont="1" applyFill="1" applyBorder="1" applyAlignment="1">
      <alignment horizontal="left" wrapText="1"/>
    </xf>
    <xf numFmtId="3" fontId="5" fillId="3" borderId="7" xfId="0" applyNumberFormat="1" applyFont="1" applyFill="1" applyBorder="1" applyAlignment="1">
      <alignment horizontal="center" wrapText="1"/>
    </xf>
    <xf numFmtId="0" fontId="5" fillId="3" borderId="1" xfId="0" applyFont="1" applyFill="1" applyBorder="1" applyAlignment="1">
      <alignment horizontal="center" vertical="top"/>
    </xf>
    <xf numFmtId="0" fontId="5" fillId="3" borderId="7" xfId="0" applyFont="1" applyFill="1" applyBorder="1" applyAlignment="1">
      <alignment horizontal="left" wrapText="1"/>
    </xf>
    <xf numFmtId="3" fontId="5" fillId="3" borderId="7" xfId="0" applyNumberFormat="1" applyFont="1" applyFill="1" applyBorder="1" applyAlignment="1">
      <alignment horizontal="left" wrapText="1"/>
    </xf>
    <xf numFmtId="3" fontId="5" fillId="3" borderId="8" xfId="0" applyNumberFormat="1" applyFont="1" applyFill="1" applyBorder="1" applyAlignment="1">
      <alignment horizontal="center" wrapText="1"/>
    </xf>
    <xf numFmtId="0" fontId="5" fillId="3" borderId="8" xfId="0" applyFont="1" applyFill="1" applyBorder="1" applyAlignment="1">
      <alignment horizontal="left" wrapText="1"/>
    </xf>
    <xf numFmtId="3" fontId="5" fillId="3" borderId="8" xfId="0" applyNumberFormat="1" applyFont="1" applyFill="1" applyBorder="1" applyAlignment="1">
      <alignment horizontal="left" wrapText="1"/>
    </xf>
    <xf numFmtId="176" fontId="7" fillId="0" borderId="6" xfId="0" applyNumberFormat="1" applyFont="1" applyBorder="1" applyAlignment="1">
      <alignment horizontal="center"/>
    </xf>
    <xf numFmtId="1" fontId="7" fillId="0" borderId="6" xfId="0" applyNumberFormat="1" applyFont="1" applyBorder="1" applyAlignment="1">
      <alignment horizontal="center"/>
    </xf>
    <xf numFmtId="3" fontId="7" fillId="0" borderId="6" xfId="0" applyNumberFormat="1" applyFont="1" applyBorder="1" applyAlignment="1">
      <alignment horizontal="center"/>
    </xf>
    <xf numFmtId="176" fontId="1" fillId="2" borderId="1" xfId="0" applyNumberFormat="1" applyFont="1" applyFill="1" applyBorder="1" applyAlignment="1">
      <alignment horizontal="center" wrapText="1"/>
    </xf>
    <xf numFmtId="1" fontId="1" fillId="2" borderId="1" xfId="0" applyNumberFormat="1" applyFont="1" applyFill="1" applyBorder="1" applyAlignment="1">
      <alignment horizontal="center" wrapText="1"/>
    </xf>
    <xf numFmtId="0" fontId="6" fillId="0" borderId="1" xfId="0" applyFont="1" applyBorder="1" applyAlignment="1">
      <alignment horizontal="center" wrapText="1"/>
    </xf>
    <xf numFmtId="3" fontId="6" fillId="3" borderId="1" xfId="0" applyNumberFormat="1" applyFont="1" applyFill="1" applyBorder="1" applyAlignment="1">
      <alignment horizontal="center" wrapText="1"/>
    </xf>
    <xf numFmtId="3" fontId="6" fillId="3" borderId="2" xfId="0" applyNumberFormat="1" applyFont="1" applyFill="1" applyBorder="1" applyAlignment="1">
      <alignment horizontal="center" vertical="top" wrapText="1"/>
    </xf>
    <xf numFmtId="3" fontId="6" fillId="3" borderId="3" xfId="0" applyNumberFormat="1" applyFont="1" applyFill="1" applyBorder="1" applyAlignment="1">
      <alignment horizontal="center" wrapText="1"/>
    </xf>
    <xf numFmtId="3" fontId="6" fillId="3" borderId="4" xfId="0" applyNumberFormat="1" applyFont="1" applyFill="1" applyBorder="1" applyAlignment="1">
      <alignment horizontal="center" wrapText="1"/>
    </xf>
    <xf numFmtId="3" fontId="5" fillId="3" borderId="1" xfId="0" applyNumberFormat="1" applyFont="1" applyFill="1" applyBorder="1" applyAlignment="1">
      <alignment horizontal="center"/>
    </xf>
    <xf numFmtId="0" fontId="6" fillId="0" borderId="1" xfId="0" applyFont="1" applyBorder="1" applyAlignment="1">
      <alignment horizontal="center"/>
    </xf>
    <xf numFmtId="3" fontId="6" fillId="3" borderId="5" xfId="0" applyNumberFormat="1" applyFont="1" applyFill="1" applyBorder="1" applyAlignment="1">
      <alignment horizontal="center"/>
    </xf>
    <xf numFmtId="3" fontId="6" fillId="3" borderId="1" xfId="0" applyNumberFormat="1" applyFont="1" applyFill="1" applyBorder="1" applyAlignment="1">
      <alignment horizontal="center" vertical="top"/>
    </xf>
    <xf numFmtId="3" fontId="6" fillId="3" borderId="1" xfId="0" applyNumberFormat="1" applyFont="1" applyFill="1" applyBorder="1" applyAlignment="1">
      <alignment horizontal="center"/>
    </xf>
    <xf numFmtId="3" fontId="6" fillId="3" borderId="3" xfId="0" applyNumberFormat="1" applyFont="1" applyFill="1" applyBorder="1" applyAlignment="1">
      <alignment horizontal="center" vertical="top"/>
    </xf>
    <xf numFmtId="3" fontId="6" fillId="3" borderId="3" xfId="0" applyNumberFormat="1" applyFont="1" applyFill="1" applyBorder="1" applyAlignment="1">
      <alignment horizontal="center"/>
    </xf>
    <xf numFmtId="3" fontId="6" fillId="3" borderId="2" xfId="0" applyNumberFormat="1" applyFont="1" applyFill="1" applyBorder="1" applyAlignment="1">
      <alignment horizontal="center" vertical="top"/>
    </xf>
    <xf numFmtId="3" fontId="6" fillId="3" borderId="4" xfId="0" applyNumberFormat="1" applyFont="1" applyFill="1" applyBorder="1" applyAlignment="1">
      <alignment horizontal="center"/>
    </xf>
    <xf numFmtId="3" fontId="5" fillId="3" borderId="7" xfId="0" applyNumberFormat="1" applyFont="1" applyFill="1" applyBorder="1" applyAlignment="1">
      <alignment horizontal="center"/>
    </xf>
    <xf numFmtId="3" fontId="5" fillId="3" borderId="8" xfId="0" applyNumberFormat="1" applyFont="1" applyFill="1" applyBorder="1" applyAlignment="1">
      <alignment horizontal="center"/>
    </xf>
    <xf numFmtId="0" fontId="1" fillId="0" borderId="9" xfId="0" applyFont="1" applyBorder="1" applyAlignment="1">
      <alignment horizontal="center" wrapText="1"/>
    </xf>
    <xf numFmtId="0" fontId="8" fillId="0" borderId="9" xfId="0" applyFont="1" applyBorder="1" applyAlignment="1">
      <alignment horizontal="center"/>
    </xf>
    <xf numFmtId="0" fontId="5" fillId="0" borderId="9" xfId="0" applyFont="1" applyBorder="1" applyAlignment="1">
      <alignment horizontal="center"/>
    </xf>
    <xf numFmtId="3" fontId="5" fillId="3" borderId="3" xfId="0" applyNumberFormat="1" applyFont="1" applyFill="1" applyBorder="1" applyAlignment="1">
      <alignment horizontal="center" wrapText="1"/>
    </xf>
    <xf numFmtId="3" fontId="5" fillId="3" borderId="4" xfId="0" applyNumberFormat="1" applyFont="1" applyFill="1" applyBorder="1" applyAlignment="1">
      <alignment horizontal="center" wrapText="1"/>
    </xf>
    <xf numFmtId="0" fontId="5" fillId="3" borderId="2" xfId="0" applyFont="1" applyFill="1" applyBorder="1" applyAlignment="1">
      <alignment horizontal="center" wrapText="1"/>
    </xf>
    <xf numFmtId="0" fontId="5" fillId="3" borderId="5" xfId="0" applyFont="1" applyFill="1" applyBorder="1" applyAlignment="1">
      <alignment horizontal="center" wrapText="1"/>
    </xf>
    <xf numFmtId="177" fontId="5" fillId="3" borderId="7" xfId="0" applyNumberFormat="1" applyFont="1" applyFill="1" applyBorder="1" applyAlignment="1">
      <alignment horizontal="right" wrapText="1"/>
    </xf>
    <xf numFmtId="0" fontId="5" fillId="3" borderId="4" xfId="0" applyFont="1" applyFill="1" applyBorder="1" applyAlignment="1">
      <alignment horizontal="center" wrapText="1"/>
    </xf>
    <xf numFmtId="0" fontId="5" fillId="3" borderId="3" xfId="0" applyFont="1" applyFill="1" applyBorder="1" applyAlignment="1">
      <alignment horizontal="center" vertical="top" wrapText="1"/>
    </xf>
    <xf numFmtId="0" fontId="5" fillId="3" borderId="10" xfId="0" applyFont="1" applyFill="1" applyBorder="1" applyAlignment="1">
      <alignment horizontal="center" wrapText="1"/>
    </xf>
    <xf numFmtId="0" fontId="5" fillId="3" borderId="11" xfId="0" applyFont="1" applyFill="1" applyBorder="1" applyAlignment="1">
      <alignment horizontal="center" vertical="top" wrapText="1"/>
    </xf>
    <xf numFmtId="177" fontId="5" fillId="3" borderId="1" xfId="0" applyNumberFormat="1" applyFont="1" applyFill="1" applyBorder="1" applyAlignment="1">
      <alignment horizontal="center" wrapText="1"/>
    </xf>
    <xf numFmtId="177" fontId="5" fillId="3" borderId="1" xfId="0" applyNumberFormat="1" applyFont="1" applyFill="1" applyBorder="1" applyAlignment="1">
      <alignment horizontal="right" wrapText="1"/>
    </xf>
    <xf numFmtId="0" fontId="5" fillId="3" borderId="2" xfId="0" applyFont="1" applyFill="1" applyBorder="1" applyAlignment="1">
      <alignment horizontal="center"/>
    </xf>
    <xf numFmtId="0" fontId="6" fillId="3" borderId="2" xfId="0" applyFont="1" applyFill="1" applyBorder="1" applyAlignment="1">
      <alignment horizontal="center"/>
    </xf>
    <xf numFmtId="0" fontId="5" fillId="3" borderId="7" xfId="0" applyFont="1" applyFill="1" applyBorder="1" applyAlignment="1">
      <alignment horizontal="center" wrapText="1"/>
    </xf>
    <xf numFmtId="0" fontId="6" fillId="3" borderId="7" xfId="0" applyFont="1" applyFill="1" applyBorder="1" applyAlignment="1">
      <alignment horizontal="center"/>
    </xf>
    <xf numFmtId="0" fontId="6" fillId="3" borderId="1" xfId="0" applyFont="1" applyFill="1" applyBorder="1" applyAlignment="1">
      <alignment horizontal="center" wrapText="1"/>
    </xf>
    <xf numFmtId="0" fontId="6" fillId="3" borderId="3" xfId="0" applyFont="1" applyFill="1" applyBorder="1" applyAlignment="1">
      <alignment horizontal="center" vertical="top" wrapText="1"/>
    </xf>
    <xf numFmtId="0" fontId="6" fillId="3" borderId="1" xfId="0" applyFont="1" applyFill="1" applyBorder="1" applyAlignment="1">
      <alignment horizontal="center" vertical="top" wrapText="1"/>
    </xf>
    <xf numFmtId="0" fontId="6" fillId="4" borderId="1" xfId="0" applyFont="1" applyFill="1" applyBorder="1" applyAlignment="1">
      <alignment horizontal="center"/>
    </xf>
    <xf numFmtId="0" fontId="5" fillId="0" borderId="12" xfId="0" applyFont="1" applyBorder="1" applyAlignment="1">
      <alignment horizontal="center"/>
    </xf>
    <xf numFmtId="3" fontId="6" fillId="4" borderId="1" xfId="0" applyNumberFormat="1" applyFont="1" applyFill="1" applyBorder="1" applyAlignment="1">
      <alignment horizontal="center" wrapText="1"/>
    </xf>
    <xf numFmtId="0" fontId="6" fillId="4" borderId="1" xfId="0" applyFont="1" applyFill="1" applyBorder="1" applyAlignment="1">
      <alignment horizontal="center" wrapText="1"/>
    </xf>
    <xf numFmtId="3" fontId="5" fillId="5" borderId="1" xfId="0" applyNumberFormat="1" applyFont="1" applyFill="1" applyBorder="1" applyAlignment="1">
      <alignment horizontal="center" wrapText="1"/>
    </xf>
    <xf numFmtId="3" fontId="5" fillId="0" borderId="12" xfId="0" applyNumberFormat="1" applyFont="1" applyBorder="1" applyAlignment="1">
      <alignment horizontal="center" wrapText="1"/>
    </xf>
    <xf numFmtId="3" fontId="5" fillId="0" borderId="13" xfId="0" applyNumberFormat="1" applyFont="1" applyBorder="1" applyAlignment="1">
      <alignment horizontal="center" wrapText="1"/>
    </xf>
    <xf numFmtId="3" fontId="9" fillId="0" borderId="13" xfId="0" applyNumberFormat="1" applyFont="1" applyBorder="1" applyAlignment="1">
      <alignment horizontal="center" wrapText="1"/>
    </xf>
    <xf numFmtId="3" fontId="10" fillId="0" borderId="13" xfId="0" applyNumberFormat="1" applyFont="1" applyBorder="1" applyAlignment="1">
      <alignment horizontal="center" wrapText="1"/>
    </xf>
    <xf numFmtId="176" fontId="5" fillId="3" borderId="1" xfId="0" applyNumberFormat="1" applyFont="1" applyFill="1" applyBorder="1" applyAlignment="1">
      <alignment horizontal="center"/>
    </xf>
    <xf numFmtId="176" fontId="6" fillId="4" borderId="1" xfId="0" applyNumberFormat="1" applyFont="1" applyFill="1" applyBorder="1" applyAlignment="1">
      <alignment horizontal="center"/>
    </xf>
    <xf numFmtId="1" fontId="6" fillId="4" borderId="1" xfId="0" applyNumberFormat="1" applyFont="1" applyFill="1" applyBorder="1" applyAlignment="1">
      <alignment horizontal="center"/>
    </xf>
    <xf numFmtId="3" fontId="6" fillId="4" borderId="1" xfId="0" applyNumberFormat="1" applyFont="1" applyFill="1" applyBorder="1" applyAlignment="1">
      <alignment horizontal="center"/>
    </xf>
    <xf numFmtId="1" fontId="5" fillId="3" borderId="1" xfId="0" applyNumberFormat="1" applyFont="1" applyFill="1" applyBorder="1" applyAlignment="1">
      <alignment horizontal="center" wrapText="1"/>
    </xf>
    <xf numFmtId="176" fontId="5" fillId="0" borderId="1" xfId="0" applyNumberFormat="1" applyFont="1" applyBorder="1" applyAlignment="1">
      <alignment horizontal="center"/>
    </xf>
    <xf numFmtId="1" fontId="5" fillId="5" borderId="1" xfId="0" applyNumberFormat="1" applyFont="1" applyFill="1" applyBorder="1" applyAlignment="1">
      <alignment horizontal="center"/>
    </xf>
    <xf numFmtId="3" fontId="6" fillId="0" borderId="12" xfId="0" applyNumberFormat="1" applyFont="1" applyBorder="1" applyAlignment="1">
      <alignment horizontal="center"/>
    </xf>
    <xf numFmtId="0" fontId="6" fillId="0" borderId="12" xfId="0" applyFont="1" applyBorder="1" applyAlignment="1">
      <alignment horizontal="center"/>
    </xf>
    <xf numFmtId="176" fontId="0" fillId="0" borderId="0" xfId="0" applyNumberFormat="1" applyAlignment="1">
      <alignment wrapText="1"/>
    </xf>
    <xf numFmtId="1" fontId="0" fillId="0" borderId="0" xfId="0" applyNumberFormat="1" applyAlignment="1">
      <alignment wrapText="1"/>
    </xf>
    <xf numFmtId="0" fontId="5" fillId="0" borderId="6" xfId="0" applyFont="1" applyBorder="1" applyAlignment="1">
      <alignment horizontal="center" wrapText="1"/>
    </xf>
    <xf numFmtId="0" fontId="8" fillId="0" borderId="0" xfId="0" applyFont="1" applyBorder="1" applyAlignment="1">
      <alignment horizontal="center" wrapText="1"/>
    </xf>
    <xf numFmtId="0" fontId="6" fillId="3" borderId="4" xfId="0" applyFont="1" applyFill="1" applyBorder="1" applyAlignment="1">
      <alignment horizontal="center" wrapText="1"/>
    </xf>
    <xf numFmtId="0" fontId="5" fillId="3" borderId="8" xfId="0" applyFont="1" applyFill="1" applyBorder="1" applyAlignment="1">
      <alignment horizontal="center" wrapText="1"/>
    </xf>
    <xf numFmtId="0" fontId="5" fillId="0" borderId="0" xfId="0" applyFont="1" applyBorder="1" applyAlignment="1">
      <alignment horizontal="center" wrapText="1"/>
    </xf>
    <xf numFmtId="0" fontId="5" fillId="3" borderId="7" xfId="0" applyFont="1" applyFill="1" applyBorder="1" applyAlignment="1">
      <alignment horizontal="center" vertical="top" wrapText="1"/>
    </xf>
    <xf numFmtId="176" fontId="7" fillId="0" borderId="6" xfId="0" applyNumberFormat="1" applyFont="1" applyBorder="1" applyAlignment="1">
      <alignment horizontal="center" wrapText="1"/>
    </xf>
    <xf numFmtId="1" fontId="7" fillId="0" borderId="6" xfId="0" applyNumberFormat="1" applyFont="1" applyBorder="1" applyAlignment="1">
      <alignment horizontal="center" wrapText="1"/>
    </xf>
    <xf numFmtId="3" fontId="6" fillId="3" borderId="5" xfId="0" applyNumberFormat="1" applyFont="1" applyFill="1" applyBorder="1" applyAlignment="1">
      <alignment horizontal="center" wrapText="1"/>
    </xf>
    <xf numFmtId="3" fontId="6" fillId="3" borderId="1" xfId="0" applyNumberFormat="1" applyFont="1" applyFill="1" applyBorder="1" applyAlignment="1">
      <alignment horizontal="center" vertical="top" wrapText="1"/>
    </xf>
    <xf numFmtId="3" fontId="6" fillId="3" borderId="3" xfId="0" applyNumberFormat="1" applyFont="1" applyFill="1" applyBorder="1" applyAlignment="1">
      <alignment horizontal="center" vertical="top" wrapText="1"/>
    </xf>
    <xf numFmtId="0" fontId="6" fillId="3" borderId="2" xfId="0" applyFont="1" applyFill="1" applyBorder="1" applyAlignment="1">
      <alignment horizontal="center" wrapText="1"/>
    </xf>
    <xf numFmtId="0" fontId="6" fillId="3" borderId="7" xfId="0" applyFont="1" applyFill="1" applyBorder="1" applyAlignment="1">
      <alignment horizontal="center" wrapText="1"/>
    </xf>
    <xf numFmtId="0" fontId="6" fillId="0" borderId="14" xfId="0" applyFont="1" applyBorder="1" applyAlignment="1">
      <alignment horizontal="center" wrapText="1"/>
    </xf>
    <xf numFmtId="0" fontId="5" fillId="0" borderId="12" xfId="0" applyFont="1" applyBorder="1" applyAlignment="1">
      <alignment horizontal="center" wrapText="1"/>
    </xf>
    <xf numFmtId="3" fontId="5" fillId="3" borderId="2" xfId="0" applyNumberFormat="1" applyFont="1" applyFill="1" applyBorder="1" applyAlignment="1">
      <alignment horizontal="center" wrapText="1"/>
    </xf>
    <xf numFmtId="0" fontId="5" fillId="3" borderId="11" xfId="0" applyFont="1" applyFill="1" applyBorder="1" applyAlignment="1">
      <alignment horizontal="left" wrapText="1"/>
    </xf>
    <xf numFmtId="3" fontId="5" fillId="3" borderId="11" xfId="0" applyNumberFormat="1" applyFont="1" applyFill="1" applyBorder="1" applyAlignment="1">
      <alignment horizontal="left" wrapText="1"/>
    </xf>
    <xf numFmtId="3" fontId="5" fillId="3" borderId="11" xfId="0" applyNumberFormat="1" applyFont="1" applyFill="1" applyBorder="1" applyAlignment="1">
      <alignment horizontal="center" wrapText="1"/>
    </xf>
    <xf numFmtId="0" fontId="6" fillId="0" borderId="15" xfId="0" applyFont="1" applyBorder="1" applyAlignment="1">
      <alignment horizontal="center" wrapText="1"/>
    </xf>
    <xf numFmtId="3" fontId="6" fillId="3" borderId="2" xfId="0" applyNumberFormat="1" applyFont="1" applyFill="1" applyBorder="1" applyAlignment="1">
      <alignment horizontal="center" wrapText="1"/>
    </xf>
    <xf numFmtId="176" fontId="5" fillId="3" borderId="1" xfId="0" applyNumberFormat="1" applyFont="1" applyFill="1" applyBorder="1" applyAlignment="1">
      <alignment horizontal="center" wrapText="1"/>
    </xf>
    <xf numFmtId="0" fontId="6" fillId="0" borderId="16" xfId="0" applyFont="1" applyBorder="1" applyAlignment="1">
      <alignment horizontal="center" wrapText="1"/>
    </xf>
    <xf numFmtId="176" fontId="6" fillId="4" borderId="1" xfId="0" applyNumberFormat="1" applyFont="1" applyFill="1" applyBorder="1" applyAlignment="1">
      <alignment horizontal="center" wrapText="1"/>
    </xf>
    <xf numFmtId="1" fontId="6" fillId="4" borderId="1" xfId="0" applyNumberFormat="1" applyFont="1" applyFill="1" applyBorder="1" applyAlignment="1">
      <alignment horizontal="center" wrapText="1"/>
    </xf>
    <xf numFmtId="176" fontId="5" fillId="0" borderId="1" xfId="0" applyNumberFormat="1" applyFont="1" applyBorder="1" applyAlignment="1">
      <alignment horizontal="center" wrapText="1"/>
    </xf>
    <xf numFmtId="1" fontId="5" fillId="5" borderId="1" xfId="0" applyNumberFormat="1" applyFont="1" applyFill="1" applyBorder="1" applyAlignment="1">
      <alignment horizontal="center" wrapText="1"/>
    </xf>
    <xf numFmtId="3" fontId="6" fillId="0" borderId="12" xfId="0" applyNumberFormat="1" applyFont="1" applyBorder="1" applyAlignment="1">
      <alignment horizontal="center" wrapText="1"/>
    </xf>
    <xf numFmtId="0" fontId="6" fillId="0" borderId="12" xfId="0" applyFont="1" applyBorder="1" applyAlignment="1">
      <alignment horizontal="center" wrapText="1"/>
    </xf>
    <xf numFmtId="0" fontId="6" fillId="3" borderId="2" xfId="0" applyFont="1" applyFill="1" applyBorder="1" applyAlignment="1">
      <alignment horizontal="center" vertical="top"/>
    </xf>
    <xf numFmtId="0" fontId="6" fillId="3" borderId="4" xfId="0" applyFont="1" applyFill="1" applyBorder="1" applyAlignment="1">
      <alignment horizontal="center"/>
    </xf>
    <xf numFmtId="0" fontId="7" fillId="0" borderId="6" xfId="0" applyFont="1" applyBorder="1" applyAlignment="1">
      <alignment horizontal="left" wrapText="1"/>
    </xf>
    <xf numFmtId="3" fontId="7" fillId="0" borderId="6" xfId="0" applyNumberFormat="1" applyFont="1" applyBorder="1" applyAlignment="1">
      <alignment horizontal="left" wrapText="1"/>
    </xf>
    <xf numFmtId="3" fontId="1" fillId="6" borderId="1" xfId="0" applyNumberFormat="1" applyFont="1" applyFill="1" applyBorder="1" applyAlignment="1">
      <alignment horizontal="center" wrapText="1"/>
    </xf>
    <xf numFmtId="0" fontId="1" fillId="6" borderId="1" xfId="0" applyFont="1" applyFill="1" applyBorder="1" applyAlignment="1">
      <alignment horizontal="left" wrapText="1"/>
    </xf>
    <xf numFmtId="3" fontId="1" fillId="6" borderId="1" xfId="0" applyNumberFormat="1" applyFont="1" applyFill="1" applyBorder="1" applyAlignment="1">
      <alignment horizontal="left" wrapText="1"/>
    </xf>
    <xf numFmtId="176" fontId="1" fillId="6" borderId="1" xfId="0" applyNumberFormat="1" applyFont="1" applyFill="1" applyBorder="1" applyAlignment="1">
      <alignment horizontal="center" wrapText="1"/>
    </xf>
    <xf numFmtId="0" fontId="6" fillId="3" borderId="17" xfId="0" applyFont="1" applyFill="1" applyBorder="1" applyAlignment="1">
      <alignment horizontal="center" vertical="top" wrapText="1"/>
    </xf>
    <xf numFmtId="3" fontId="6" fillId="3" borderId="18" xfId="0" applyNumberFormat="1" applyFont="1" applyFill="1" applyBorder="1" applyAlignment="1">
      <alignment horizontal="center" wrapText="1"/>
    </xf>
    <xf numFmtId="3" fontId="5" fillId="3" borderId="11" xfId="0" applyNumberFormat="1" applyFont="1" applyFill="1" applyBorder="1" applyAlignment="1">
      <alignment horizontal="center"/>
    </xf>
    <xf numFmtId="0" fontId="5" fillId="3" borderId="10" xfId="0" applyFont="1" applyFill="1" applyBorder="1" applyAlignment="1">
      <alignment horizontal="center" vertical="top" wrapText="1"/>
    </xf>
    <xf numFmtId="3" fontId="6" fillId="3" borderId="19" xfId="0" applyNumberFormat="1" applyFont="1" applyFill="1" applyBorder="1" applyAlignment="1">
      <alignment horizontal="center" wrapText="1"/>
    </xf>
    <xf numFmtId="3" fontId="5" fillId="3" borderId="2" xfId="0" applyNumberFormat="1" applyFont="1" applyFill="1" applyBorder="1" applyAlignment="1">
      <alignment horizontal="left" wrapText="1"/>
    </xf>
    <xf numFmtId="3" fontId="5" fillId="3" borderId="5" xfId="0" applyNumberFormat="1" applyFont="1" applyFill="1" applyBorder="1" applyAlignment="1">
      <alignment horizontal="center" wrapText="1"/>
    </xf>
    <xf numFmtId="3" fontId="5" fillId="3" borderId="19" xfId="0" applyNumberFormat="1" applyFont="1" applyFill="1" applyBorder="1" applyAlignment="1">
      <alignment horizontal="center" wrapText="1"/>
    </xf>
    <xf numFmtId="3" fontId="11" fillId="3" borderId="1" xfId="0" applyNumberFormat="1" applyFont="1" applyFill="1" applyBorder="1" applyAlignment="1">
      <alignment horizontal="left" wrapText="1"/>
    </xf>
    <xf numFmtId="0" fontId="6" fillId="0" borderId="20" xfId="0" applyFont="1" applyBorder="1" applyAlignment="1">
      <alignment horizontal="center"/>
    </xf>
    <xf numFmtId="0" fontId="6" fillId="0" borderId="14" xfId="0" applyFont="1" applyBorder="1" applyAlignment="1">
      <alignment horizontal="center"/>
    </xf>
    <xf numFmtId="0" fontId="6" fillId="3" borderId="4" xfId="0" applyFont="1" applyFill="1" applyBorder="1" applyAlignment="1">
      <alignment horizontal="center" vertical="top" wrapText="1"/>
    </xf>
    <xf numFmtId="0" fontId="6" fillId="4" borderId="1" xfId="0" applyFont="1" applyFill="1" applyBorder="1" applyAlignment="1">
      <alignment horizontal="left" wrapText="1"/>
    </xf>
    <xf numFmtId="3" fontId="6" fillId="4" borderId="1" xfId="0" applyNumberFormat="1" applyFont="1" applyFill="1" applyBorder="1" applyAlignment="1">
      <alignment horizontal="left" wrapText="1"/>
    </xf>
    <xf numFmtId="3" fontId="5" fillId="3" borderId="1" xfId="0" applyNumberFormat="1" applyFont="1" applyFill="1" applyBorder="1" applyAlignment="1">
      <alignment horizontal="right" wrapText="1"/>
    </xf>
    <xf numFmtId="3" fontId="5" fillId="0" borderId="12" xfId="0" applyNumberFormat="1" applyFont="1" applyBorder="1" applyAlignment="1">
      <alignment horizontal="right" wrapText="1"/>
    </xf>
    <xf numFmtId="3" fontId="5" fillId="0" borderId="12" xfId="0" applyNumberFormat="1" applyFont="1" applyBorder="1" applyAlignment="1">
      <alignment horizontal="left" wrapText="1"/>
    </xf>
    <xf numFmtId="3" fontId="5" fillId="0" borderId="13" xfId="0" applyNumberFormat="1" applyFont="1" applyBorder="1" applyAlignment="1">
      <alignment horizontal="right" wrapText="1"/>
    </xf>
    <xf numFmtId="3" fontId="5" fillId="0" borderId="6" xfId="0" applyNumberFormat="1" applyFont="1" applyBorder="1" applyAlignment="1">
      <alignment horizontal="center"/>
    </xf>
    <xf numFmtId="3" fontId="1" fillId="0" borderId="0" xfId="0" applyNumberFormat="1" applyFont="1" applyBorder="1" applyAlignment="1">
      <alignment horizontal="center" wrapText="1"/>
    </xf>
    <xf numFmtId="3" fontId="8" fillId="0" borderId="0" xfId="0" applyNumberFormat="1" applyFont="1" applyBorder="1" applyAlignment="1">
      <alignment horizontal="center"/>
    </xf>
    <xf numFmtId="3" fontId="5" fillId="0" borderId="0" xfId="0" applyNumberFormat="1" applyFont="1" applyBorder="1" applyAlignment="1">
      <alignment horizontal="center"/>
    </xf>
    <xf numFmtId="0" fontId="5" fillId="3" borderId="2" xfId="0" applyFont="1" applyFill="1" applyBorder="1" applyAlignment="1">
      <alignment horizontal="left" wrapText="1"/>
    </xf>
    <xf numFmtId="0" fontId="5" fillId="3" borderId="4" xfId="0" applyFont="1" applyFill="1" applyBorder="1" applyAlignment="1">
      <alignment horizontal="left" wrapText="1"/>
    </xf>
    <xf numFmtId="0" fontId="5" fillId="3" borderId="17" xfId="0" applyFont="1" applyFill="1" applyBorder="1" applyAlignment="1">
      <alignment horizontal="center" vertical="top" wrapText="1"/>
    </xf>
    <xf numFmtId="0" fontId="5" fillId="3" borderId="18" xfId="0" applyFont="1" applyFill="1" applyBorder="1" applyAlignment="1">
      <alignment horizontal="center" wrapText="1"/>
    </xf>
    <xf numFmtId="0" fontId="5" fillId="3" borderId="19" xfId="0" applyFont="1" applyFill="1" applyBorder="1" applyAlignment="1">
      <alignment horizontal="center" wrapText="1"/>
    </xf>
    <xf numFmtId="0" fontId="5" fillId="3" borderId="18" xfId="0" applyFont="1" applyFill="1" applyBorder="1" applyAlignment="1">
      <alignment horizontal="center" vertical="top" wrapText="1"/>
    </xf>
    <xf numFmtId="0" fontId="5" fillId="3" borderId="4" xfId="0" applyFont="1" applyFill="1" applyBorder="1" applyAlignment="1">
      <alignment horizontal="center" vertical="top" wrapText="1"/>
    </xf>
    <xf numFmtId="3" fontId="5" fillId="3" borderId="2" xfId="0" applyNumberFormat="1" applyFont="1" applyFill="1" applyBorder="1" applyAlignment="1">
      <alignment horizontal="right" wrapText="1"/>
    </xf>
    <xf numFmtId="3" fontId="5" fillId="3" borderId="3" xfId="0" applyNumberFormat="1" applyFont="1" applyFill="1" applyBorder="1" applyAlignment="1">
      <alignment horizontal="right" wrapText="1"/>
    </xf>
    <xf numFmtId="0" fontId="5" fillId="6" borderId="1" xfId="0" applyFont="1" applyFill="1" applyBorder="1" applyAlignment="1">
      <alignment horizontal="center"/>
    </xf>
    <xf numFmtId="3" fontId="5" fillId="6" borderId="1" xfId="0" applyNumberFormat="1" applyFont="1" applyFill="1" applyBorder="1" applyAlignment="1">
      <alignment horizontal="center" wrapText="1"/>
    </xf>
    <xf numFmtId="0" fontId="5" fillId="6" borderId="1" xfId="0" applyFont="1" applyFill="1" applyBorder="1" applyAlignment="1">
      <alignment horizontal="left" wrapText="1"/>
    </xf>
    <xf numFmtId="3" fontId="5" fillId="6" borderId="1" xfId="0" applyNumberFormat="1" applyFont="1" applyFill="1" applyBorder="1" applyAlignment="1">
      <alignment horizontal="left" wrapText="1"/>
    </xf>
    <xf numFmtId="177" fontId="5" fillId="3" borderId="4" xfId="0" applyNumberFormat="1" applyFont="1" applyFill="1" applyBorder="1" applyAlignment="1">
      <alignment horizontal="center" wrapText="1"/>
    </xf>
    <xf numFmtId="177" fontId="5" fillId="3" borderId="8" xfId="0" applyNumberFormat="1" applyFont="1" applyFill="1" applyBorder="1" applyAlignment="1">
      <alignment horizontal="right" wrapText="1"/>
    </xf>
    <xf numFmtId="3" fontId="5" fillId="3" borderId="4" xfId="0" applyNumberFormat="1" applyFont="1" applyFill="1" applyBorder="1" applyAlignment="1">
      <alignment horizontal="left" wrapText="1"/>
    </xf>
    <xf numFmtId="0" fontId="6" fillId="6" borderId="1" xfId="0" applyFont="1" applyFill="1" applyBorder="1" applyAlignment="1">
      <alignment horizontal="center"/>
    </xf>
    <xf numFmtId="3" fontId="6" fillId="6" borderId="1" xfId="0" applyNumberFormat="1" applyFont="1" applyFill="1" applyBorder="1" applyAlignment="1">
      <alignment horizontal="center"/>
    </xf>
    <xf numFmtId="0" fontId="6" fillId="0" borderId="15" xfId="0" applyFont="1" applyBorder="1" applyAlignment="1">
      <alignment horizontal="center"/>
    </xf>
    <xf numFmtId="3" fontId="6" fillId="3" borderId="2" xfId="0" applyNumberFormat="1" applyFont="1" applyFill="1" applyBorder="1" applyAlignment="1">
      <alignment horizontal="center"/>
    </xf>
    <xf numFmtId="3" fontId="5" fillId="3" borderId="4" xfId="0" applyNumberFormat="1" applyFont="1" applyFill="1" applyBorder="1" applyAlignment="1">
      <alignment horizontal="center"/>
    </xf>
    <xf numFmtId="0" fontId="6" fillId="0" borderId="16" xfId="0" applyFont="1" applyBorder="1" applyAlignment="1">
      <alignment horizontal="center"/>
    </xf>
    <xf numFmtId="4" fontId="5" fillId="3" borderId="7" xfId="0" applyNumberFormat="1" applyFont="1" applyFill="1" applyBorder="1" applyAlignment="1">
      <alignment horizontal="center"/>
    </xf>
    <xf numFmtId="4" fontId="6" fillId="3" borderId="5" xfId="0" applyNumberFormat="1" applyFont="1" applyFill="1" applyBorder="1" applyAlignment="1">
      <alignment horizontal="center"/>
    </xf>
    <xf numFmtId="3" fontId="5" fillId="0" borderId="12" xfId="0" applyNumberFormat="1" applyFont="1" applyBorder="1" applyAlignment="1">
      <alignment horizontal="center"/>
    </xf>
    <xf numFmtId="0" fontId="1" fillId="6" borderId="1" xfId="0" applyFont="1" applyFill="1" applyBorder="1" applyAlignment="1">
      <alignment horizontal="center" wrapText="1"/>
    </xf>
    <xf numFmtId="1" fontId="1" fillId="2" borderId="5" xfId="0" applyNumberFormat="1" applyFont="1" applyFill="1" applyBorder="1" applyAlignment="1">
      <alignment horizontal="center" wrapText="1"/>
    </xf>
    <xf numFmtId="3" fontId="1" fillId="2" borderId="11" xfId="0" applyNumberFormat="1" applyFont="1" applyFill="1" applyBorder="1" applyAlignment="1">
      <alignment horizontal="center" wrapText="1"/>
    </xf>
    <xf numFmtId="3" fontId="5" fillId="0" borderId="14" xfId="0" applyNumberFormat="1" applyFont="1" applyBorder="1" applyAlignment="1">
      <alignment horizontal="center"/>
    </xf>
    <xf numFmtId="0" fontId="5" fillId="3" borderId="3" xfId="0" applyFont="1" applyFill="1" applyBorder="1" applyAlignment="1">
      <alignment horizontal="center" vertical="top"/>
    </xf>
    <xf numFmtId="3" fontId="8" fillId="0" borderId="21" xfId="0" applyNumberFormat="1" applyFont="1" applyBorder="1" applyAlignment="1">
      <alignment horizontal="center" vertical="top"/>
    </xf>
    <xf numFmtId="3" fontId="8" fillId="0" borderId="22" xfId="0" applyNumberFormat="1" applyFont="1" applyBorder="1" applyAlignment="1">
      <alignment horizontal="center"/>
    </xf>
    <xf numFmtId="3" fontId="8" fillId="0" borderId="20" xfId="0" applyNumberFormat="1" applyFont="1" applyBorder="1" applyAlignment="1">
      <alignment horizontal="center"/>
    </xf>
    <xf numFmtId="3" fontId="8" fillId="0" borderId="14" xfId="0" applyNumberFormat="1" applyFont="1" applyBorder="1" applyAlignment="1">
      <alignment horizontal="center"/>
    </xf>
    <xf numFmtId="3" fontId="8" fillId="0" borderId="23" xfId="0" applyNumberFormat="1" applyFont="1" applyBorder="1" applyAlignment="1">
      <alignment horizontal="center"/>
    </xf>
    <xf numFmtId="1" fontId="6" fillId="4" borderId="5" xfId="0" applyNumberFormat="1" applyFont="1" applyFill="1" applyBorder="1" applyAlignment="1">
      <alignment horizontal="center"/>
    </xf>
    <xf numFmtId="1" fontId="5" fillId="3" borderId="5" xfId="0" applyNumberFormat="1" applyFont="1" applyFill="1" applyBorder="1" applyAlignment="1">
      <alignment horizontal="center" wrapText="1"/>
    </xf>
    <xf numFmtId="1" fontId="5" fillId="5" borderId="5" xfId="0" applyNumberFormat="1" applyFont="1" applyFill="1" applyBorder="1" applyAlignment="1">
      <alignment horizontal="center"/>
    </xf>
    <xf numFmtId="3" fontId="5" fillId="0" borderId="23" xfId="0" applyNumberFormat="1" applyFont="1" applyBorder="1" applyAlignment="1">
      <alignment horizontal="center"/>
    </xf>
    <xf numFmtId="3" fontId="5" fillId="0" borderId="24" xfId="0" applyNumberFormat="1" applyFont="1" applyBorder="1" applyAlignment="1">
      <alignment horizontal="center"/>
    </xf>
    <xf numFmtId="0" fontId="12" fillId="2" borderId="25" xfId="0" applyFont="1" applyFill="1" applyBorder="1" applyAlignment="1">
      <alignment horizontal="center" wrapText="1"/>
    </xf>
    <xf numFmtId="0" fontId="12" fillId="2" borderId="26" xfId="0" applyFont="1" applyFill="1" applyBorder="1" applyAlignment="1">
      <alignment horizontal="center"/>
    </xf>
    <xf numFmtId="0" fontId="13" fillId="2" borderId="27" xfId="0" applyFont="1" applyFill="1" applyBorder="1" applyAlignment="1">
      <alignment horizontal="left" wrapText="1"/>
    </xf>
    <xf numFmtId="0" fontId="13" fillId="2" borderId="27" xfId="0" applyFont="1" applyFill="1" applyBorder="1" applyAlignment="1">
      <alignment horizontal="left"/>
    </xf>
    <xf numFmtId="0" fontId="5" fillId="0" borderId="1" xfId="0" applyFont="1" applyBorder="1" applyAlignment="1">
      <alignment horizontal="left" wrapText="1"/>
    </xf>
    <xf numFmtId="0" fontId="5" fillId="0" borderId="1" xfId="0" applyFont="1" applyBorder="1" applyAlignment="1">
      <alignment horizontal="left"/>
    </xf>
    <xf numFmtId="0" fontId="14" fillId="3" borderId="5" xfId="0" applyFont="1" applyFill="1" applyBorder="1" applyAlignment="1">
      <alignment horizontal="center" wrapText="1"/>
    </xf>
    <xf numFmtId="0" fontId="14" fillId="3" borderId="7" xfId="0" applyFont="1" applyFill="1" applyBorder="1" applyAlignment="1">
      <alignment horizontal="center"/>
    </xf>
    <xf numFmtId="0" fontId="4" fillId="0" borderId="28" xfId="0" applyFont="1" applyBorder="1" applyAlignment="1">
      <alignment horizontal="left" wrapText="1"/>
    </xf>
    <xf numFmtId="0" fontId="5" fillId="0" borderId="22" xfId="0" applyFont="1" applyBorder="1" applyAlignment="1">
      <alignment horizontal="left" wrapText="1"/>
    </xf>
    <xf numFmtId="0" fontId="5" fillId="0" borderId="28" xfId="0" applyFont="1" applyBorder="1" applyAlignment="1">
      <alignment horizontal="left" wrapText="1"/>
    </xf>
    <xf numFmtId="0" fontId="4" fillId="0" borderId="22" xfId="0" applyFont="1" applyBorder="1" applyAlignment="1">
      <alignment horizontal="left" wrapText="1"/>
    </xf>
    <xf numFmtId="0" fontId="5" fillId="0" borderId="29" xfId="0" applyFont="1" applyBorder="1" applyAlignment="1">
      <alignment horizontal="left" wrapText="1"/>
    </xf>
    <xf numFmtId="0" fontId="5" fillId="0" borderId="20" xfId="0" applyFont="1" applyBorder="1" applyAlignment="1">
      <alignment horizontal="left" wrapText="1"/>
    </xf>
    <xf numFmtId="0" fontId="15" fillId="0" borderId="0" xfId="0" applyFont="1" applyBorder="1" applyAlignment="1">
      <alignment horizontal="left" wrapText="1"/>
    </xf>
    <xf numFmtId="0" fontId="15" fillId="0" borderId="0" xfId="0" applyFont="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B1:C39"/>
  <sheetViews>
    <sheetView workbookViewId="0">
      <selection activeCell="A1" sqref="A1"/>
    </sheetView>
  </sheetViews>
  <sheetFormatPr defaultColWidth="9" defaultRowHeight="16.8" outlineLevelCol="2"/>
  <cols>
    <col min="1" max="1" width="1.43269230769231" style="28" customWidth="1"/>
    <col min="2" max="2" width="80.1442307692308" style="1" customWidth="1"/>
    <col min="3" max="3" width="45.8653846153846" style="28" customWidth="1"/>
  </cols>
  <sheetData>
    <row r="1" ht="25" customHeight="1" spans="2:3">
      <c r="B1" s="222" t="s">
        <v>0</v>
      </c>
      <c r="C1" s="223"/>
    </row>
    <row r="2" ht="25" customHeight="1" spans="2:3">
      <c r="B2" s="224" t="s">
        <v>1</v>
      </c>
      <c r="C2" s="225" t="s">
        <v>2</v>
      </c>
    </row>
    <row r="3" ht="25" customHeight="1" spans="2:3">
      <c r="B3" s="226" t="s">
        <v>3</v>
      </c>
      <c r="C3" s="227"/>
    </row>
    <row r="4" ht="25" customHeight="1" spans="2:3">
      <c r="B4" s="226" t="s">
        <v>4</v>
      </c>
      <c r="C4" s="227"/>
    </row>
    <row r="5" ht="25" customHeight="1" spans="2:3">
      <c r="B5" s="226" t="s">
        <v>5</v>
      </c>
      <c r="C5" s="227"/>
    </row>
    <row r="6" ht="25" customHeight="1" spans="2:3">
      <c r="B6" s="226" t="s">
        <v>6</v>
      </c>
      <c r="C6" s="227"/>
    </row>
    <row r="7" ht="25" customHeight="1" spans="2:3">
      <c r="B7" s="226" t="s">
        <v>7</v>
      </c>
      <c r="C7" s="227"/>
    </row>
    <row r="8" ht="25" customHeight="1" spans="2:3">
      <c r="B8" s="226" t="s">
        <v>8</v>
      </c>
      <c r="C8" s="227"/>
    </row>
    <row r="9" ht="25" customHeight="1" spans="2:3">
      <c r="B9" s="226" t="s">
        <v>9</v>
      </c>
      <c r="C9" s="227"/>
    </row>
    <row r="10" ht="25" customHeight="1" spans="2:3">
      <c r="B10" s="226" t="s">
        <v>10</v>
      </c>
      <c r="C10" s="227"/>
    </row>
    <row r="11" ht="25" customHeight="1" spans="2:3">
      <c r="B11" s="226" t="s">
        <v>11</v>
      </c>
      <c r="C11" s="227"/>
    </row>
    <row r="12" ht="25" customHeight="1" spans="2:3">
      <c r="B12" s="226" t="s">
        <v>12</v>
      </c>
      <c r="C12" s="227"/>
    </row>
    <row r="13" ht="25" customHeight="1" spans="2:3">
      <c r="B13" s="226" t="s">
        <v>13</v>
      </c>
      <c r="C13" s="227"/>
    </row>
    <row r="14" ht="25" customHeight="1" spans="2:3">
      <c r="B14" s="226" t="s">
        <v>14</v>
      </c>
      <c r="C14" s="227"/>
    </row>
    <row r="15" ht="25" customHeight="1" spans="2:3">
      <c r="B15" s="228" t="s">
        <v>15</v>
      </c>
      <c r="C15" s="229"/>
    </row>
    <row r="16" s="1" customFormat="1" ht="25" customHeight="1" spans="2:3">
      <c r="B16" s="230" t="s">
        <v>16</v>
      </c>
      <c r="C16" s="231"/>
    </row>
    <row r="17" s="1" customFormat="1" ht="25" customHeight="1" spans="2:3">
      <c r="B17" s="232" t="s">
        <v>17</v>
      </c>
      <c r="C17" s="231"/>
    </row>
    <row r="18" s="1" customFormat="1" ht="25" customHeight="1" spans="2:3">
      <c r="B18" s="232" t="s">
        <v>18</v>
      </c>
      <c r="C18" s="231"/>
    </row>
    <row r="19" s="1" customFormat="1" ht="25" customHeight="1" spans="2:3">
      <c r="B19" s="232" t="s">
        <v>19</v>
      </c>
      <c r="C19" s="231"/>
    </row>
    <row r="20" ht="25" customHeight="1" spans="2:3">
      <c r="B20" s="228" t="s">
        <v>20</v>
      </c>
      <c r="C20" s="229"/>
    </row>
    <row r="21" s="1" customFormat="1" ht="25" customHeight="1" spans="2:3">
      <c r="B21" s="232" t="s">
        <v>21</v>
      </c>
      <c r="C21" s="231"/>
    </row>
    <row r="22" s="1" customFormat="1" ht="25" customHeight="1" spans="2:3">
      <c r="B22" s="232" t="s">
        <v>22</v>
      </c>
      <c r="C22" s="231"/>
    </row>
    <row r="23" s="1" customFormat="1" ht="25" customHeight="1" spans="2:3">
      <c r="B23" s="230" t="s">
        <v>23</v>
      </c>
      <c r="C23" s="233"/>
    </row>
    <row r="24" s="1" customFormat="1" ht="25" customHeight="1" spans="2:3">
      <c r="B24" s="232" t="s">
        <v>24</v>
      </c>
      <c r="C24" s="231"/>
    </row>
    <row r="25" s="1" customFormat="1" ht="25" customHeight="1" spans="2:3">
      <c r="B25" s="232" t="s">
        <v>25</v>
      </c>
      <c r="C25" s="231"/>
    </row>
    <row r="26" s="1" customFormat="1" ht="25" customHeight="1" spans="2:3">
      <c r="B26" s="232" t="s">
        <v>26</v>
      </c>
      <c r="C26" s="231"/>
    </row>
    <row r="27" s="1" customFormat="1" ht="25" customHeight="1" spans="2:3">
      <c r="B27" s="234" t="s">
        <v>27</v>
      </c>
      <c r="C27" s="235"/>
    </row>
    <row r="28" ht="17.25" customHeight="1" spans="2:3">
      <c r="B28" s="236"/>
      <c r="C28" s="237"/>
    </row>
    <row r="29" ht="17.25" customHeight="1" spans="2:3">
      <c r="B29" s="236"/>
      <c r="C29" s="237"/>
    </row>
    <row r="30" ht="17.25" customHeight="1" spans="2:3">
      <c r="B30" s="236"/>
      <c r="C30" s="237"/>
    </row>
    <row r="31" ht="17.25" customHeight="1" spans="2:3">
      <c r="B31" s="236"/>
      <c r="C31" s="237"/>
    </row>
    <row r="32" ht="17.25" customHeight="1" spans="2:3">
      <c r="B32" s="236"/>
      <c r="C32" s="237"/>
    </row>
    <row r="33" ht="17.25" customHeight="1" spans="2:3">
      <c r="B33" s="236"/>
      <c r="C33" s="237"/>
    </row>
    <row r="34" ht="17.25" customHeight="1" spans="2:3">
      <c r="B34" s="236"/>
      <c r="C34" s="237"/>
    </row>
    <row r="35" ht="17.25" customHeight="1" spans="2:3">
      <c r="B35" s="236"/>
      <c r="C35" s="237"/>
    </row>
    <row r="36" ht="17.25" customHeight="1" spans="2:3">
      <c r="B36" s="236"/>
      <c r="C36" s="237"/>
    </row>
    <row r="37" ht="17.25" customHeight="1" spans="2:3">
      <c r="B37" s="236"/>
      <c r="C37" s="237"/>
    </row>
    <row r="38" ht="17.25" customHeight="1" spans="2:3">
      <c r="B38" s="236"/>
      <c r="C38" s="237"/>
    </row>
    <row r="39" ht="17.25" customHeight="1" spans="2:3">
      <c r="B39" s="236"/>
      <c r="C39" s="237"/>
    </row>
  </sheetData>
  <mergeCells count="14">
    <mergeCell ref="B1:C1"/>
    <mergeCell ref="B15:C15"/>
    <mergeCell ref="B16:C16"/>
    <mergeCell ref="B17:C17"/>
    <mergeCell ref="B18:C18"/>
    <mergeCell ref="B19:C19"/>
    <mergeCell ref="B20:C20"/>
    <mergeCell ref="B21:C21"/>
    <mergeCell ref="B22:C22"/>
    <mergeCell ref="B23:C23"/>
    <mergeCell ref="B24:C24"/>
    <mergeCell ref="B25:C25"/>
    <mergeCell ref="B26:C26"/>
    <mergeCell ref="B27:C2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M220"/>
  <sheetViews>
    <sheetView tabSelected="1" workbookViewId="0">
      <pane ySplit="2" topLeftCell="A50" activePane="bottomLeft" state="frozen"/>
      <selection/>
      <selection pane="bottomLeft" activeCell="E54" sqref="E54"/>
    </sheetView>
  </sheetViews>
  <sheetFormatPr defaultColWidth="9" defaultRowHeight="16.8"/>
  <cols>
    <col min="1" max="1" width="2.28846153846154" style="28" customWidth="1"/>
    <col min="2" max="2" width="15.2884615384615" style="28" customWidth="1"/>
    <col min="3" max="3" width="19.1442307692308" style="28" customWidth="1"/>
    <col min="4" max="4" width="20.4326923076923" style="29" customWidth="1"/>
    <col min="5" max="5" width="62.6538461538462" style="1" customWidth="1"/>
    <col min="6" max="6" width="29.2884615384615" style="30" customWidth="1"/>
    <col min="7" max="7" width="11.1442307692308" style="31" customWidth="1"/>
    <col min="8" max="8" width="9.86538461538461" style="28" customWidth="1"/>
    <col min="9" max="9" width="13.6153846153846" style="32" customWidth="1"/>
    <col min="10" max="10" width="8.14423076923077" style="33" customWidth="1"/>
    <col min="11" max="11" width="12.4326923076923" style="33" hidden="1" customWidth="1"/>
    <col min="12" max="13" width="12.4326923076923" style="28" customWidth="1"/>
  </cols>
  <sheetData>
    <row r="1" ht="17.25" customHeight="1" spans="1:10">
      <c r="A1" s="34"/>
      <c r="B1" s="35"/>
      <c r="C1" s="35"/>
      <c r="D1" s="49"/>
      <c r="E1" s="50"/>
      <c r="F1" s="49"/>
      <c r="G1" s="61"/>
      <c r="H1" s="35"/>
      <c r="I1" s="62"/>
      <c r="J1" s="63"/>
    </row>
    <row r="2" s="1" customFormat="1" ht="17.25" customHeight="1" spans="1:11">
      <c r="A2" s="36"/>
      <c r="B2" s="4" t="s">
        <v>28</v>
      </c>
      <c r="C2" s="4" t="s">
        <v>29</v>
      </c>
      <c r="D2" s="156" t="s">
        <v>30</v>
      </c>
      <c r="E2" s="207" t="s">
        <v>31</v>
      </c>
      <c r="F2" s="156" t="s">
        <v>32</v>
      </c>
      <c r="G2" s="159" t="s">
        <v>33</v>
      </c>
      <c r="H2" s="4" t="s">
        <v>34</v>
      </c>
      <c r="I2" s="208" t="s">
        <v>35</v>
      </c>
      <c r="J2" s="51" t="s">
        <v>36</v>
      </c>
      <c r="K2" s="209" t="s">
        <v>37</v>
      </c>
    </row>
    <row r="3" ht="20" customHeight="1" spans="1:11">
      <c r="A3" s="41"/>
      <c r="B3" s="55" t="s">
        <v>38</v>
      </c>
      <c r="C3" s="15" t="s">
        <v>39</v>
      </c>
      <c r="D3" s="48" t="s">
        <v>40</v>
      </c>
      <c r="E3" s="21" t="s">
        <v>41</v>
      </c>
      <c r="F3" s="53" t="s">
        <v>42</v>
      </c>
      <c r="G3" s="71">
        <v>8</v>
      </c>
      <c r="H3" s="72" t="s">
        <v>43</v>
      </c>
      <c r="I3" s="73">
        <f t="shared" ref="I3:I13" si="0">IF(H3&lt;&gt;0,G3,0)</f>
        <v>8</v>
      </c>
      <c r="J3" s="74">
        <f>SUM(I3:I9)</f>
        <v>33</v>
      </c>
      <c r="K3" s="210">
        <v>8</v>
      </c>
    </row>
    <row r="4" ht="20" customHeight="1" spans="1:11">
      <c r="A4" s="41"/>
      <c r="B4" s="15"/>
      <c r="C4" s="15" t="s">
        <v>44</v>
      </c>
      <c r="D4" s="48" t="s">
        <v>45</v>
      </c>
      <c r="E4" s="21" t="s">
        <v>46</v>
      </c>
      <c r="F4" s="53" t="s">
        <v>47</v>
      </c>
      <c r="G4" s="71">
        <v>8</v>
      </c>
      <c r="H4" s="72" t="s">
        <v>43</v>
      </c>
      <c r="I4" s="73">
        <f t="shared" si="0"/>
        <v>8</v>
      </c>
      <c r="J4" s="75"/>
      <c r="K4" s="210">
        <v>8</v>
      </c>
    </row>
    <row r="5" ht="20" customHeight="1" spans="1:11">
      <c r="A5" s="41"/>
      <c r="B5" s="15"/>
      <c r="C5" s="15" t="s">
        <v>48</v>
      </c>
      <c r="D5" s="48" t="s">
        <v>49</v>
      </c>
      <c r="E5" s="21" t="s">
        <v>50</v>
      </c>
      <c r="F5" s="53"/>
      <c r="G5" s="71">
        <v>5</v>
      </c>
      <c r="H5" s="72" t="s">
        <v>43</v>
      </c>
      <c r="I5" s="73">
        <f t="shared" si="0"/>
        <v>5</v>
      </c>
      <c r="J5" s="75"/>
      <c r="K5" s="210">
        <v>5</v>
      </c>
    </row>
    <row r="6" ht="20" customHeight="1" spans="1:11">
      <c r="A6" s="41"/>
      <c r="B6" s="15"/>
      <c r="C6" s="15" t="s">
        <v>51</v>
      </c>
      <c r="D6" s="48" t="s">
        <v>52</v>
      </c>
      <c r="E6" s="21" t="s">
        <v>53</v>
      </c>
      <c r="F6" s="53"/>
      <c r="G6" s="71">
        <v>3</v>
      </c>
      <c r="H6" s="72" t="s">
        <v>43</v>
      </c>
      <c r="I6" s="73">
        <f t="shared" si="0"/>
        <v>3</v>
      </c>
      <c r="J6" s="75"/>
      <c r="K6" s="210">
        <v>3</v>
      </c>
    </row>
    <row r="7" ht="20" customHeight="1" spans="1:11">
      <c r="A7" s="41"/>
      <c r="B7" s="15"/>
      <c r="C7" s="15" t="s">
        <v>54</v>
      </c>
      <c r="D7" s="48" t="s">
        <v>55</v>
      </c>
      <c r="E7" s="21" t="s">
        <v>56</v>
      </c>
      <c r="F7" s="53" t="s">
        <v>57</v>
      </c>
      <c r="G7" s="71">
        <v>5</v>
      </c>
      <c r="H7" s="72" t="s">
        <v>43</v>
      </c>
      <c r="I7" s="73">
        <f t="shared" si="0"/>
        <v>5</v>
      </c>
      <c r="J7" s="75"/>
      <c r="K7" s="210">
        <v>5</v>
      </c>
    </row>
    <row r="8" ht="20" customHeight="1" spans="1:11">
      <c r="A8" s="41"/>
      <c r="B8" s="15"/>
      <c r="C8" s="15" t="s">
        <v>58</v>
      </c>
      <c r="D8" s="48" t="s">
        <v>59</v>
      </c>
      <c r="E8" s="21" t="s">
        <v>60</v>
      </c>
      <c r="F8" s="53"/>
      <c r="G8" s="71">
        <v>2</v>
      </c>
      <c r="H8" s="72" t="s">
        <v>43</v>
      </c>
      <c r="I8" s="73">
        <f t="shared" si="0"/>
        <v>2</v>
      </c>
      <c r="J8" s="75"/>
      <c r="K8" s="210">
        <v>2</v>
      </c>
    </row>
    <row r="9" ht="20" customHeight="1" spans="1:11">
      <c r="A9" s="41"/>
      <c r="B9" s="15"/>
      <c r="C9" s="15" t="s">
        <v>61</v>
      </c>
      <c r="D9" s="48" t="s">
        <v>62</v>
      </c>
      <c r="E9" s="21" t="s">
        <v>63</v>
      </c>
      <c r="F9" s="53"/>
      <c r="G9" s="71">
        <v>2</v>
      </c>
      <c r="H9" s="72" t="s">
        <v>43</v>
      </c>
      <c r="I9" s="73">
        <f t="shared" si="0"/>
        <v>2</v>
      </c>
      <c r="J9" s="75"/>
      <c r="K9" s="210">
        <v>2</v>
      </c>
    </row>
    <row r="10" ht="20" customHeight="1" spans="1:11">
      <c r="A10" s="41"/>
      <c r="B10" s="44" t="s">
        <v>64</v>
      </c>
      <c r="C10" s="15" t="s">
        <v>65</v>
      </c>
      <c r="D10" s="48" t="s">
        <v>66</v>
      </c>
      <c r="E10" s="21" t="s">
        <v>67</v>
      </c>
      <c r="F10" s="53"/>
      <c r="G10" s="71">
        <v>1</v>
      </c>
      <c r="H10" s="72" t="s">
        <v>43</v>
      </c>
      <c r="I10" s="73">
        <f t="shared" si="0"/>
        <v>1</v>
      </c>
      <c r="J10" s="78">
        <f>SUM(I10:I18)</f>
        <v>33</v>
      </c>
      <c r="K10" s="210">
        <v>1</v>
      </c>
    </row>
    <row r="11" ht="20" customHeight="1" spans="1:11">
      <c r="A11" s="41"/>
      <c r="B11" s="43"/>
      <c r="C11" s="15" t="s">
        <v>68</v>
      </c>
      <c r="D11" s="48" t="s">
        <v>69</v>
      </c>
      <c r="E11" s="21" t="s">
        <v>70</v>
      </c>
      <c r="F11" s="53"/>
      <c r="G11" s="71">
        <v>2</v>
      </c>
      <c r="H11" s="72" t="s">
        <v>43</v>
      </c>
      <c r="I11" s="73">
        <f t="shared" si="0"/>
        <v>2</v>
      </c>
      <c r="J11" s="77"/>
      <c r="K11" s="210">
        <v>2</v>
      </c>
    </row>
    <row r="12" ht="20" customHeight="1" spans="1:11">
      <c r="A12" s="41"/>
      <c r="B12" s="43"/>
      <c r="C12" s="15" t="s">
        <v>71</v>
      </c>
      <c r="D12" s="48" t="s">
        <v>72</v>
      </c>
      <c r="E12" s="21" t="s">
        <v>73</v>
      </c>
      <c r="F12" s="53"/>
      <c r="G12" s="71">
        <v>1</v>
      </c>
      <c r="H12" s="72" t="s">
        <v>43</v>
      </c>
      <c r="I12" s="73">
        <f t="shared" si="0"/>
        <v>1</v>
      </c>
      <c r="J12" s="77"/>
      <c r="K12" s="210">
        <v>1</v>
      </c>
    </row>
    <row r="13" ht="20" customHeight="1" spans="1:11">
      <c r="A13" s="41"/>
      <c r="B13" s="43"/>
      <c r="C13" s="15" t="s">
        <v>74</v>
      </c>
      <c r="D13" s="48" t="s">
        <v>75</v>
      </c>
      <c r="E13" s="21" t="s">
        <v>76</v>
      </c>
      <c r="F13" s="53"/>
      <c r="G13" s="71">
        <v>1</v>
      </c>
      <c r="H13" s="72" t="s">
        <v>43</v>
      </c>
      <c r="I13" s="73">
        <f t="shared" si="0"/>
        <v>1</v>
      </c>
      <c r="J13" s="77"/>
      <c r="K13" s="210">
        <v>1</v>
      </c>
    </row>
    <row r="14" ht="20" customHeight="1" spans="1:11">
      <c r="A14" s="41"/>
      <c r="B14" s="43"/>
      <c r="C14" s="96" t="s">
        <v>77</v>
      </c>
      <c r="D14" s="48" t="s">
        <v>78</v>
      </c>
      <c r="E14" s="21" t="s">
        <v>79</v>
      </c>
      <c r="F14" s="53"/>
      <c r="G14" s="71">
        <v>2</v>
      </c>
      <c r="H14" s="72" t="s">
        <v>43</v>
      </c>
      <c r="I14" s="73">
        <v>2</v>
      </c>
      <c r="J14" s="77"/>
      <c r="K14" s="210" t="s">
        <v>80</v>
      </c>
    </row>
    <row r="15" ht="20" customHeight="1" spans="1:11">
      <c r="A15" s="41"/>
      <c r="B15" s="43"/>
      <c r="C15" s="44" t="s">
        <v>81</v>
      </c>
      <c r="D15" s="48" t="s">
        <v>82</v>
      </c>
      <c r="E15" s="21" t="s">
        <v>83</v>
      </c>
      <c r="F15" s="53" t="s">
        <v>84</v>
      </c>
      <c r="G15" s="71">
        <v>6</v>
      </c>
      <c r="H15" s="72" t="s">
        <v>43</v>
      </c>
      <c r="I15" s="73">
        <f t="shared" ref="I15:I63" si="1">IF(H15&lt;&gt;0,G15,0)</f>
        <v>6</v>
      </c>
      <c r="J15" s="77"/>
      <c r="K15" s="210">
        <v>6</v>
      </c>
    </row>
    <row r="16" ht="20" customHeight="1" spans="1:11">
      <c r="A16" s="41"/>
      <c r="B16" s="43"/>
      <c r="C16" s="45"/>
      <c r="D16" s="48" t="s">
        <v>85</v>
      </c>
      <c r="E16" s="56" t="s">
        <v>86</v>
      </c>
      <c r="F16" s="57" t="s">
        <v>87</v>
      </c>
      <c r="G16" s="80">
        <v>12</v>
      </c>
      <c r="H16" s="72" t="s">
        <v>43</v>
      </c>
      <c r="I16" s="73">
        <f t="shared" si="1"/>
        <v>12</v>
      </c>
      <c r="J16" s="77"/>
      <c r="K16" s="210">
        <v>12</v>
      </c>
    </row>
    <row r="17" ht="20" customHeight="1" spans="1:11">
      <c r="A17" s="41"/>
      <c r="B17" s="43"/>
      <c r="C17" s="15" t="s">
        <v>88</v>
      </c>
      <c r="D17" s="48" t="s">
        <v>88</v>
      </c>
      <c r="E17" s="21" t="s">
        <v>89</v>
      </c>
      <c r="F17" s="53" t="s">
        <v>90</v>
      </c>
      <c r="G17" s="71">
        <v>8</v>
      </c>
      <c r="H17" s="72" t="s">
        <v>43</v>
      </c>
      <c r="I17" s="73">
        <f t="shared" si="1"/>
        <v>8</v>
      </c>
      <c r="J17" s="77"/>
      <c r="K17" s="210">
        <v>8</v>
      </c>
    </row>
    <row r="18" ht="20" customHeight="1" spans="1:11">
      <c r="A18" s="41"/>
      <c r="B18" s="43"/>
      <c r="C18" s="52" t="s">
        <v>91</v>
      </c>
      <c r="D18" s="48" t="s">
        <v>91</v>
      </c>
      <c r="E18" s="21"/>
      <c r="F18" s="53"/>
      <c r="G18" s="71">
        <v>0</v>
      </c>
      <c r="H18" s="72" t="s">
        <v>43</v>
      </c>
      <c r="I18" s="73">
        <f t="shared" si="1"/>
        <v>0</v>
      </c>
      <c r="J18" s="79"/>
      <c r="K18" s="210"/>
    </row>
    <row r="19" ht="20" customHeight="1" spans="1:11">
      <c r="A19" s="41"/>
      <c r="B19" s="44" t="s">
        <v>92</v>
      </c>
      <c r="C19" s="52" t="s">
        <v>93</v>
      </c>
      <c r="D19" s="48" t="s">
        <v>94</v>
      </c>
      <c r="E19" s="21" t="s">
        <v>95</v>
      </c>
      <c r="F19" s="53" t="s">
        <v>96</v>
      </c>
      <c r="G19" s="71">
        <v>2</v>
      </c>
      <c r="H19" s="72" t="s">
        <v>43</v>
      </c>
      <c r="I19" s="73">
        <f t="shared" si="1"/>
        <v>2</v>
      </c>
      <c r="J19" s="74">
        <f>SUM(I19:I62)</f>
        <v>203</v>
      </c>
      <c r="K19" s="210">
        <v>2</v>
      </c>
    </row>
    <row r="20" ht="20" customHeight="1" spans="1:11">
      <c r="A20" s="41"/>
      <c r="B20" s="43"/>
      <c r="C20" s="15" t="s">
        <v>97</v>
      </c>
      <c r="D20" s="48" t="s">
        <v>98</v>
      </c>
      <c r="E20" s="21" t="s">
        <v>99</v>
      </c>
      <c r="F20" s="53"/>
      <c r="G20" s="71">
        <v>2</v>
      </c>
      <c r="H20" s="72" t="s">
        <v>43</v>
      </c>
      <c r="I20" s="73">
        <f t="shared" si="1"/>
        <v>2</v>
      </c>
      <c r="J20" s="75"/>
      <c r="K20" s="210">
        <v>2</v>
      </c>
    </row>
    <row r="21" ht="20" customHeight="1" spans="1:11">
      <c r="A21" s="41"/>
      <c r="B21" s="43"/>
      <c r="C21" s="15" t="s">
        <v>100</v>
      </c>
      <c r="D21" s="48" t="s">
        <v>101</v>
      </c>
      <c r="E21" s="21" t="s">
        <v>102</v>
      </c>
      <c r="F21" s="53"/>
      <c r="G21" s="71">
        <v>1</v>
      </c>
      <c r="H21" s="72" t="s">
        <v>43</v>
      </c>
      <c r="I21" s="73">
        <f t="shared" si="1"/>
        <v>1</v>
      </c>
      <c r="J21" s="75"/>
      <c r="K21" s="210">
        <v>1</v>
      </c>
    </row>
    <row r="22" ht="20" customHeight="1" spans="1:11">
      <c r="A22" s="41"/>
      <c r="B22" s="43"/>
      <c r="C22" s="55" t="s">
        <v>103</v>
      </c>
      <c r="D22" s="48" t="s">
        <v>104</v>
      </c>
      <c r="E22" s="21" t="s">
        <v>105</v>
      </c>
      <c r="F22" s="53" t="s">
        <v>106</v>
      </c>
      <c r="G22" s="71">
        <v>2</v>
      </c>
      <c r="H22" s="72" t="s">
        <v>43</v>
      </c>
      <c r="I22" s="73">
        <f t="shared" si="1"/>
        <v>2</v>
      </c>
      <c r="J22" s="75"/>
      <c r="K22" s="210">
        <v>2</v>
      </c>
    </row>
    <row r="23" ht="20" customHeight="1" spans="1:11">
      <c r="A23" s="41"/>
      <c r="B23" s="43"/>
      <c r="C23" s="15"/>
      <c r="D23" s="48" t="s">
        <v>107</v>
      </c>
      <c r="E23" s="21" t="s">
        <v>108</v>
      </c>
      <c r="F23" s="53" t="s">
        <v>109</v>
      </c>
      <c r="G23" s="71">
        <v>1</v>
      </c>
      <c r="H23" s="72" t="s">
        <v>43</v>
      </c>
      <c r="I23" s="73">
        <f t="shared" si="1"/>
        <v>1</v>
      </c>
      <c r="J23" s="75"/>
      <c r="K23" s="210">
        <v>1</v>
      </c>
    </row>
    <row r="24" ht="20" customHeight="1" spans="1:11">
      <c r="A24" s="41"/>
      <c r="B24" s="43"/>
      <c r="C24" s="15"/>
      <c r="D24" s="48" t="s">
        <v>110</v>
      </c>
      <c r="E24" s="21" t="s">
        <v>111</v>
      </c>
      <c r="F24" s="53"/>
      <c r="G24" s="71">
        <v>3</v>
      </c>
      <c r="H24" s="72" t="s">
        <v>43</v>
      </c>
      <c r="I24" s="73">
        <f t="shared" si="1"/>
        <v>3</v>
      </c>
      <c r="J24" s="75"/>
      <c r="K24" s="210">
        <v>3</v>
      </c>
    </row>
    <row r="25" ht="20" customHeight="1" spans="1:11">
      <c r="A25" s="41"/>
      <c r="B25" s="43"/>
      <c r="C25" s="15" t="s">
        <v>112</v>
      </c>
      <c r="D25" s="48" t="s">
        <v>113</v>
      </c>
      <c r="E25" s="21" t="s">
        <v>114</v>
      </c>
      <c r="F25" s="53" t="s">
        <v>115</v>
      </c>
      <c r="G25" s="71">
        <v>1</v>
      </c>
      <c r="H25" s="72" t="s">
        <v>43</v>
      </c>
      <c r="I25" s="73">
        <f t="shared" si="1"/>
        <v>1</v>
      </c>
      <c r="J25" s="75"/>
      <c r="K25" s="210">
        <v>1</v>
      </c>
    </row>
    <row r="26" ht="20" customHeight="1" spans="1:11">
      <c r="A26" s="41"/>
      <c r="B26" s="43"/>
      <c r="C26" s="15" t="s">
        <v>116</v>
      </c>
      <c r="D26" s="48" t="s">
        <v>117</v>
      </c>
      <c r="E26" s="21" t="s">
        <v>118</v>
      </c>
      <c r="F26" s="53"/>
      <c r="G26" s="71">
        <v>5</v>
      </c>
      <c r="H26" s="72" t="s">
        <v>43</v>
      </c>
      <c r="I26" s="73">
        <f t="shared" si="1"/>
        <v>5</v>
      </c>
      <c r="J26" s="75"/>
      <c r="K26" s="210">
        <v>5</v>
      </c>
    </row>
    <row r="27" ht="20" customHeight="1" spans="1:11">
      <c r="A27" s="41"/>
      <c r="B27" s="43"/>
      <c r="C27" s="15" t="s">
        <v>119</v>
      </c>
      <c r="D27" s="48" t="s">
        <v>120</v>
      </c>
      <c r="E27" s="21" t="s">
        <v>121</v>
      </c>
      <c r="F27" s="53" t="s">
        <v>122</v>
      </c>
      <c r="G27" s="71">
        <v>2</v>
      </c>
      <c r="H27" s="72" t="s">
        <v>43</v>
      </c>
      <c r="I27" s="73">
        <f t="shared" si="1"/>
        <v>2</v>
      </c>
      <c r="J27" s="75"/>
      <c r="K27" s="210">
        <v>2</v>
      </c>
    </row>
    <row r="28" ht="20" customHeight="1" spans="1:11">
      <c r="A28" s="41"/>
      <c r="B28" s="43"/>
      <c r="C28" s="15" t="s">
        <v>123</v>
      </c>
      <c r="D28" s="48" t="s">
        <v>123</v>
      </c>
      <c r="E28" s="21" t="s">
        <v>124</v>
      </c>
      <c r="F28" s="53"/>
      <c r="G28" s="71">
        <v>2</v>
      </c>
      <c r="H28" s="72" t="s">
        <v>43</v>
      </c>
      <c r="I28" s="73">
        <f t="shared" si="1"/>
        <v>2</v>
      </c>
      <c r="J28" s="75"/>
      <c r="K28" s="210">
        <v>2</v>
      </c>
    </row>
    <row r="29" ht="20" customHeight="1" spans="1:11">
      <c r="A29" s="41"/>
      <c r="B29" s="43"/>
      <c r="C29" s="15" t="s">
        <v>125</v>
      </c>
      <c r="D29" s="48" t="s">
        <v>126</v>
      </c>
      <c r="E29" s="21" t="s">
        <v>127</v>
      </c>
      <c r="F29" s="53" t="s">
        <v>128</v>
      </c>
      <c r="G29" s="71">
        <v>10</v>
      </c>
      <c r="H29" s="72" t="s">
        <v>43</v>
      </c>
      <c r="I29" s="73">
        <f t="shared" si="1"/>
        <v>10</v>
      </c>
      <c r="J29" s="75"/>
      <c r="K29" s="210">
        <v>10</v>
      </c>
    </row>
    <row r="30" ht="20" customHeight="1" spans="1:11">
      <c r="A30" s="41"/>
      <c r="B30" s="43"/>
      <c r="C30" s="15" t="s">
        <v>129</v>
      </c>
      <c r="D30" s="48" t="s">
        <v>130</v>
      </c>
      <c r="E30" s="21" t="s">
        <v>131</v>
      </c>
      <c r="F30" s="53" t="s">
        <v>132</v>
      </c>
      <c r="G30" s="71">
        <v>2</v>
      </c>
      <c r="H30" s="72" t="s">
        <v>43</v>
      </c>
      <c r="I30" s="73">
        <f t="shared" si="1"/>
        <v>2</v>
      </c>
      <c r="J30" s="75"/>
      <c r="K30" s="210">
        <v>2</v>
      </c>
    </row>
    <row r="31" ht="20" customHeight="1" spans="1:11">
      <c r="A31" s="41"/>
      <c r="B31" s="43"/>
      <c r="C31" s="15" t="s">
        <v>133</v>
      </c>
      <c r="D31" s="48" t="s">
        <v>134</v>
      </c>
      <c r="E31" s="21" t="s">
        <v>135</v>
      </c>
      <c r="F31" s="53" t="s">
        <v>136</v>
      </c>
      <c r="G31" s="71">
        <v>8</v>
      </c>
      <c r="H31" s="72" t="s">
        <v>43</v>
      </c>
      <c r="I31" s="73">
        <f t="shared" si="1"/>
        <v>8</v>
      </c>
      <c r="J31" s="75"/>
      <c r="K31" s="210">
        <v>8</v>
      </c>
    </row>
    <row r="32" ht="20" customHeight="1" spans="1:11">
      <c r="A32" s="41"/>
      <c r="B32" s="43"/>
      <c r="C32" s="15" t="s">
        <v>137</v>
      </c>
      <c r="D32" s="48" t="s">
        <v>138</v>
      </c>
      <c r="E32" s="21" t="s">
        <v>139</v>
      </c>
      <c r="F32" s="53"/>
      <c r="G32" s="71">
        <v>2</v>
      </c>
      <c r="H32" s="72" t="s">
        <v>43</v>
      </c>
      <c r="I32" s="73">
        <f t="shared" si="1"/>
        <v>2</v>
      </c>
      <c r="J32" s="75"/>
      <c r="K32" s="210">
        <v>2</v>
      </c>
    </row>
    <row r="33" ht="20" customHeight="1" spans="1:11">
      <c r="A33" s="41"/>
      <c r="B33" s="43"/>
      <c r="C33" s="15" t="s">
        <v>140</v>
      </c>
      <c r="D33" s="48" t="s">
        <v>141</v>
      </c>
      <c r="E33" s="21" t="s">
        <v>142</v>
      </c>
      <c r="F33" s="53" t="s">
        <v>143</v>
      </c>
      <c r="G33" s="71">
        <v>2</v>
      </c>
      <c r="H33" s="72" t="s">
        <v>43</v>
      </c>
      <c r="I33" s="73">
        <f t="shared" si="1"/>
        <v>2</v>
      </c>
      <c r="J33" s="75"/>
      <c r="K33" s="210">
        <v>2</v>
      </c>
    </row>
    <row r="34" ht="20" customHeight="1" spans="1:11">
      <c r="A34" s="41"/>
      <c r="B34" s="43"/>
      <c r="C34" s="15" t="s">
        <v>144</v>
      </c>
      <c r="D34" s="48" t="s">
        <v>145</v>
      </c>
      <c r="E34" s="21" t="s">
        <v>146</v>
      </c>
      <c r="F34" s="53"/>
      <c r="G34" s="71">
        <v>2</v>
      </c>
      <c r="H34" s="72" t="s">
        <v>43</v>
      </c>
      <c r="I34" s="73">
        <f t="shared" si="1"/>
        <v>2</v>
      </c>
      <c r="J34" s="75"/>
      <c r="K34" s="210">
        <v>2</v>
      </c>
    </row>
    <row r="35" ht="20" customHeight="1" spans="1:11">
      <c r="A35" s="41"/>
      <c r="B35" s="43"/>
      <c r="C35" s="15" t="s">
        <v>147</v>
      </c>
      <c r="D35" s="48" t="s">
        <v>148</v>
      </c>
      <c r="E35" s="21" t="s">
        <v>149</v>
      </c>
      <c r="F35" s="53" t="s">
        <v>150</v>
      </c>
      <c r="G35" s="71">
        <v>3</v>
      </c>
      <c r="H35" s="72" t="s">
        <v>43</v>
      </c>
      <c r="I35" s="73">
        <f t="shared" si="1"/>
        <v>3</v>
      </c>
      <c r="J35" s="75"/>
      <c r="K35" s="210">
        <v>3</v>
      </c>
    </row>
    <row r="36" ht="20" customHeight="1" spans="1:11">
      <c r="A36" s="41"/>
      <c r="B36" s="43"/>
      <c r="C36" s="15" t="s">
        <v>151</v>
      </c>
      <c r="D36" s="48" t="s">
        <v>152</v>
      </c>
      <c r="E36" s="21" t="s">
        <v>153</v>
      </c>
      <c r="F36" s="53"/>
      <c r="G36" s="71">
        <v>1</v>
      </c>
      <c r="H36" s="72" t="s">
        <v>43</v>
      </c>
      <c r="I36" s="73">
        <f t="shared" si="1"/>
        <v>1</v>
      </c>
      <c r="J36" s="75"/>
      <c r="K36" s="210">
        <v>1</v>
      </c>
    </row>
    <row r="37" ht="20" customHeight="1" spans="1:11">
      <c r="A37" s="41"/>
      <c r="B37" s="43"/>
      <c r="C37" s="15" t="s">
        <v>154</v>
      </c>
      <c r="D37" s="48" t="s">
        <v>155</v>
      </c>
      <c r="E37" s="21" t="s">
        <v>156</v>
      </c>
      <c r="F37" s="53"/>
      <c r="G37" s="71">
        <v>1</v>
      </c>
      <c r="H37" s="72" t="s">
        <v>43</v>
      </c>
      <c r="I37" s="73">
        <f t="shared" si="1"/>
        <v>1</v>
      </c>
      <c r="J37" s="75"/>
      <c r="K37" s="210">
        <v>1</v>
      </c>
    </row>
    <row r="38" ht="20" customHeight="1" spans="1:11">
      <c r="A38" s="41"/>
      <c r="B38" s="43"/>
      <c r="C38" s="15" t="s">
        <v>157</v>
      </c>
      <c r="D38" s="48" t="s">
        <v>158</v>
      </c>
      <c r="E38" s="21" t="s">
        <v>159</v>
      </c>
      <c r="F38" s="53"/>
      <c r="G38" s="71">
        <v>2</v>
      </c>
      <c r="H38" s="72" t="s">
        <v>43</v>
      </c>
      <c r="I38" s="73">
        <f t="shared" si="1"/>
        <v>2</v>
      </c>
      <c r="J38" s="75"/>
      <c r="K38" s="210">
        <v>2</v>
      </c>
    </row>
    <row r="39" ht="20" customHeight="1" spans="1:11">
      <c r="A39" s="41"/>
      <c r="B39" s="43"/>
      <c r="C39" s="15" t="s">
        <v>160</v>
      </c>
      <c r="D39" s="48" t="s">
        <v>161</v>
      </c>
      <c r="E39" s="21" t="s">
        <v>162</v>
      </c>
      <c r="F39" s="53"/>
      <c r="G39" s="71">
        <v>8</v>
      </c>
      <c r="H39" s="72" t="s">
        <v>43</v>
      </c>
      <c r="I39" s="73">
        <f t="shared" si="1"/>
        <v>8</v>
      </c>
      <c r="J39" s="75"/>
      <c r="K39" s="210">
        <v>8</v>
      </c>
    </row>
    <row r="40" ht="20" customHeight="1" spans="1:11">
      <c r="A40" s="41"/>
      <c r="B40" s="43"/>
      <c r="C40" s="15" t="s">
        <v>163</v>
      </c>
      <c r="D40" s="48" t="s">
        <v>164</v>
      </c>
      <c r="E40" s="21" t="s">
        <v>165</v>
      </c>
      <c r="F40" s="53"/>
      <c r="G40" s="71">
        <v>3</v>
      </c>
      <c r="H40" s="72" t="s">
        <v>43</v>
      </c>
      <c r="I40" s="73">
        <f t="shared" si="1"/>
        <v>3</v>
      </c>
      <c r="J40" s="75"/>
      <c r="K40" s="210">
        <v>3</v>
      </c>
    </row>
    <row r="41" ht="20" customHeight="1" spans="1:11">
      <c r="A41" s="41"/>
      <c r="B41" s="43"/>
      <c r="C41" s="15" t="s">
        <v>166</v>
      </c>
      <c r="D41" s="48" t="s">
        <v>167</v>
      </c>
      <c r="E41" s="21" t="s">
        <v>168</v>
      </c>
      <c r="F41" s="53"/>
      <c r="G41" s="71">
        <v>4</v>
      </c>
      <c r="H41" s="72" t="s">
        <v>43</v>
      </c>
      <c r="I41" s="73">
        <f t="shared" si="1"/>
        <v>4</v>
      </c>
      <c r="J41" s="75"/>
      <c r="K41" s="210">
        <v>4</v>
      </c>
    </row>
    <row r="42" ht="20" customHeight="1" spans="1:11">
      <c r="A42" s="41"/>
      <c r="B42" s="43"/>
      <c r="C42" s="15" t="s">
        <v>169</v>
      </c>
      <c r="D42" s="48" t="s">
        <v>170</v>
      </c>
      <c r="E42" s="21" t="s">
        <v>171</v>
      </c>
      <c r="F42" s="53"/>
      <c r="G42" s="71">
        <v>2</v>
      </c>
      <c r="H42" s="72" t="s">
        <v>43</v>
      </c>
      <c r="I42" s="73">
        <f t="shared" si="1"/>
        <v>2</v>
      </c>
      <c r="J42" s="75"/>
      <c r="K42" s="210">
        <v>2</v>
      </c>
    </row>
    <row r="43" ht="20" customHeight="1" spans="1:11">
      <c r="A43" s="41"/>
      <c r="B43" s="43"/>
      <c r="C43" s="15" t="s">
        <v>172</v>
      </c>
      <c r="D43" s="48" t="s">
        <v>173</v>
      </c>
      <c r="E43" s="21" t="s">
        <v>174</v>
      </c>
      <c r="F43" s="53" t="s">
        <v>175</v>
      </c>
      <c r="G43" s="71">
        <v>5</v>
      </c>
      <c r="H43" s="72" t="s">
        <v>43</v>
      </c>
      <c r="I43" s="73">
        <f t="shared" si="1"/>
        <v>5</v>
      </c>
      <c r="J43" s="75"/>
      <c r="K43" s="210">
        <v>5</v>
      </c>
    </row>
    <row r="44" ht="20" customHeight="1" spans="1:11">
      <c r="A44" s="41"/>
      <c r="B44" s="43"/>
      <c r="C44" s="15" t="s">
        <v>176</v>
      </c>
      <c r="D44" s="48" t="s">
        <v>177</v>
      </c>
      <c r="E44" s="21" t="s">
        <v>178</v>
      </c>
      <c r="F44" s="53" t="s">
        <v>179</v>
      </c>
      <c r="G44" s="71">
        <v>2</v>
      </c>
      <c r="H44" s="72" t="s">
        <v>43</v>
      </c>
      <c r="I44" s="73">
        <f t="shared" si="1"/>
        <v>2</v>
      </c>
      <c r="J44" s="75"/>
      <c r="K44" s="210">
        <v>2</v>
      </c>
    </row>
    <row r="45" ht="20" customHeight="1" spans="1:11">
      <c r="A45" s="41"/>
      <c r="B45" s="43"/>
      <c r="C45" s="15" t="s">
        <v>180</v>
      </c>
      <c r="D45" s="48" t="s">
        <v>181</v>
      </c>
      <c r="E45" s="21" t="s">
        <v>182</v>
      </c>
      <c r="F45" s="53" t="s">
        <v>183</v>
      </c>
      <c r="G45" s="71">
        <v>3</v>
      </c>
      <c r="H45" s="72" t="s">
        <v>43</v>
      </c>
      <c r="I45" s="73">
        <f t="shared" si="1"/>
        <v>3</v>
      </c>
      <c r="J45" s="75"/>
      <c r="K45" s="210">
        <v>3</v>
      </c>
    </row>
    <row r="46" ht="20" customHeight="1" spans="1:11">
      <c r="A46" s="41"/>
      <c r="B46" s="43"/>
      <c r="C46" s="15" t="s">
        <v>184</v>
      </c>
      <c r="D46" s="48" t="s">
        <v>185</v>
      </c>
      <c r="E46" s="21" t="s">
        <v>186</v>
      </c>
      <c r="F46" s="53" t="s">
        <v>187</v>
      </c>
      <c r="G46" s="71">
        <v>2</v>
      </c>
      <c r="H46" s="72" t="s">
        <v>43</v>
      </c>
      <c r="I46" s="73">
        <f t="shared" si="1"/>
        <v>2</v>
      </c>
      <c r="J46" s="75"/>
      <c r="K46" s="210">
        <v>2</v>
      </c>
    </row>
    <row r="47" ht="20" customHeight="1" spans="1:11">
      <c r="A47" s="41"/>
      <c r="B47" s="43"/>
      <c r="C47" s="15" t="s">
        <v>188</v>
      </c>
      <c r="D47" s="48" t="s">
        <v>189</v>
      </c>
      <c r="E47" s="21" t="s">
        <v>190</v>
      </c>
      <c r="F47" s="53"/>
      <c r="G47" s="71">
        <v>3</v>
      </c>
      <c r="H47" s="72" t="s">
        <v>43</v>
      </c>
      <c r="I47" s="73">
        <f t="shared" si="1"/>
        <v>3</v>
      </c>
      <c r="J47" s="75"/>
      <c r="K47" s="210">
        <v>3</v>
      </c>
    </row>
    <row r="48" ht="20" customHeight="1" spans="1:11">
      <c r="A48" s="41"/>
      <c r="B48" s="43"/>
      <c r="C48" s="15" t="s">
        <v>191</v>
      </c>
      <c r="D48" s="48" t="s">
        <v>192</v>
      </c>
      <c r="E48" s="21" t="s">
        <v>193</v>
      </c>
      <c r="F48" s="53" t="s">
        <v>194</v>
      </c>
      <c r="G48" s="71">
        <v>2</v>
      </c>
      <c r="H48" s="72" t="s">
        <v>43</v>
      </c>
      <c r="I48" s="73">
        <f t="shared" si="1"/>
        <v>2</v>
      </c>
      <c r="J48" s="75"/>
      <c r="K48" s="210">
        <v>2</v>
      </c>
    </row>
    <row r="49" ht="20" customHeight="1" spans="1:11">
      <c r="A49" s="41"/>
      <c r="B49" s="43"/>
      <c r="C49" s="15" t="s">
        <v>195</v>
      </c>
      <c r="D49" s="48" t="s">
        <v>196</v>
      </c>
      <c r="E49" s="21" t="s">
        <v>197</v>
      </c>
      <c r="F49" s="53"/>
      <c r="G49" s="71">
        <v>10</v>
      </c>
      <c r="H49" s="72" t="s">
        <v>43</v>
      </c>
      <c r="I49" s="73">
        <f t="shared" si="1"/>
        <v>10</v>
      </c>
      <c r="J49" s="75"/>
      <c r="K49" s="210">
        <v>10</v>
      </c>
    </row>
    <row r="50" ht="46.5" customHeight="1" spans="1:11">
      <c r="A50" s="41"/>
      <c r="B50" s="43"/>
      <c r="C50" s="15" t="s">
        <v>198</v>
      </c>
      <c r="D50" s="48" t="s">
        <v>199</v>
      </c>
      <c r="E50" s="21" t="s">
        <v>200</v>
      </c>
      <c r="F50" s="53" t="s">
        <v>201</v>
      </c>
      <c r="G50" s="71">
        <v>3</v>
      </c>
      <c r="H50" s="72" t="s">
        <v>43</v>
      </c>
      <c r="I50" s="73">
        <f t="shared" si="1"/>
        <v>3</v>
      </c>
      <c r="J50" s="75"/>
      <c r="K50" s="210" t="s">
        <v>202</v>
      </c>
    </row>
    <row r="51" ht="50.45" customHeight="1" spans="1:11">
      <c r="A51" s="41"/>
      <c r="B51" s="43"/>
      <c r="C51" s="15" t="s">
        <v>203</v>
      </c>
      <c r="D51" s="48" t="s">
        <v>204</v>
      </c>
      <c r="E51" s="21" t="s">
        <v>205</v>
      </c>
      <c r="F51" s="53" t="s">
        <v>206</v>
      </c>
      <c r="G51" s="71">
        <v>16</v>
      </c>
      <c r="H51" s="72" t="s">
        <v>43</v>
      </c>
      <c r="I51" s="73">
        <f t="shared" si="1"/>
        <v>16</v>
      </c>
      <c r="J51" s="75"/>
      <c r="K51" s="210" t="s">
        <v>207</v>
      </c>
    </row>
    <row r="52" ht="20" customHeight="1" spans="1:11">
      <c r="A52" s="41"/>
      <c r="B52" s="43"/>
      <c r="C52" s="15" t="s">
        <v>208</v>
      </c>
      <c r="D52" s="48" t="s">
        <v>209</v>
      </c>
      <c r="E52" s="21" t="s">
        <v>210</v>
      </c>
      <c r="F52" s="53"/>
      <c r="G52" s="71">
        <v>10</v>
      </c>
      <c r="H52" s="72" t="s">
        <v>43</v>
      </c>
      <c r="I52" s="73">
        <f t="shared" si="1"/>
        <v>10</v>
      </c>
      <c r="J52" s="75"/>
      <c r="K52" s="210">
        <v>10</v>
      </c>
    </row>
    <row r="53" ht="20" customHeight="1" spans="1:11">
      <c r="A53" s="41"/>
      <c r="B53" s="43"/>
      <c r="C53" s="15" t="s">
        <v>211</v>
      </c>
      <c r="D53" s="48" t="s">
        <v>212</v>
      </c>
      <c r="E53" s="21" t="s">
        <v>213</v>
      </c>
      <c r="F53" s="53"/>
      <c r="G53" s="71">
        <v>15</v>
      </c>
      <c r="H53" s="72" t="s">
        <v>43</v>
      </c>
      <c r="I53" s="73">
        <f t="shared" si="1"/>
        <v>15</v>
      </c>
      <c r="J53" s="75"/>
      <c r="K53" s="210">
        <v>15</v>
      </c>
    </row>
    <row r="54" ht="20" customHeight="1" spans="1:11">
      <c r="A54" s="41"/>
      <c r="B54" s="43"/>
      <c r="C54" s="96" t="s">
        <v>214</v>
      </c>
      <c r="D54" s="48" t="s">
        <v>214</v>
      </c>
      <c r="E54" s="21" t="s">
        <v>215</v>
      </c>
      <c r="F54" s="53"/>
      <c r="G54" s="71">
        <v>3</v>
      </c>
      <c r="H54" s="72" t="s">
        <v>43</v>
      </c>
      <c r="I54" s="73">
        <f t="shared" si="1"/>
        <v>3</v>
      </c>
      <c r="J54" s="75"/>
      <c r="K54" s="210">
        <v>3</v>
      </c>
    </row>
    <row r="55" ht="20" customHeight="1" spans="1:11">
      <c r="A55" s="41"/>
      <c r="B55" s="43"/>
      <c r="C55" s="96" t="s">
        <v>216</v>
      </c>
      <c r="D55" s="48" t="s">
        <v>78</v>
      </c>
      <c r="E55" s="21" t="s">
        <v>217</v>
      </c>
      <c r="F55" s="53" t="s">
        <v>218</v>
      </c>
      <c r="G55" s="71">
        <v>8</v>
      </c>
      <c r="H55" s="72" t="s">
        <v>43</v>
      </c>
      <c r="I55" s="73">
        <f t="shared" si="1"/>
        <v>8</v>
      </c>
      <c r="J55" s="75"/>
      <c r="K55" s="210">
        <v>8</v>
      </c>
    </row>
    <row r="56" ht="20" customHeight="1" spans="1:11">
      <c r="A56" s="41"/>
      <c r="B56" s="43"/>
      <c r="C56" s="15" t="s">
        <v>219</v>
      </c>
      <c r="D56" s="48" t="s">
        <v>220</v>
      </c>
      <c r="E56" s="21" t="s">
        <v>221</v>
      </c>
      <c r="F56" s="53"/>
      <c r="G56" s="71">
        <v>8</v>
      </c>
      <c r="H56" s="72" t="s">
        <v>43</v>
      </c>
      <c r="I56" s="73">
        <f t="shared" si="1"/>
        <v>8</v>
      </c>
      <c r="J56" s="75"/>
      <c r="K56" s="210">
        <v>8</v>
      </c>
    </row>
    <row r="57" ht="20" customHeight="1" spans="1:11">
      <c r="A57" s="41"/>
      <c r="B57" s="43"/>
      <c r="C57" s="15" t="s">
        <v>222</v>
      </c>
      <c r="D57" s="48" t="s">
        <v>223</v>
      </c>
      <c r="E57" s="21" t="s">
        <v>224</v>
      </c>
      <c r="F57" s="53"/>
      <c r="G57" s="71">
        <v>8</v>
      </c>
      <c r="H57" s="72" t="s">
        <v>43</v>
      </c>
      <c r="I57" s="73">
        <f t="shared" si="1"/>
        <v>8</v>
      </c>
      <c r="J57" s="75"/>
      <c r="K57" s="210">
        <v>8</v>
      </c>
    </row>
    <row r="58" ht="29.75" customHeight="1" spans="1:11">
      <c r="A58" s="41"/>
      <c r="B58" s="43"/>
      <c r="C58" s="15" t="s">
        <v>225</v>
      </c>
      <c r="D58" s="48" t="s">
        <v>226</v>
      </c>
      <c r="E58" s="21" t="s">
        <v>227</v>
      </c>
      <c r="F58" s="53" t="s">
        <v>228</v>
      </c>
      <c r="G58" s="71">
        <v>8</v>
      </c>
      <c r="H58" s="72" t="s">
        <v>43</v>
      </c>
      <c r="I58" s="73">
        <f t="shared" si="1"/>
        <v>8</v>
      </c>
      <c r="J58" s="75"/>
      <c r="K58" s="210">
        <v>8</v>
      </c>
    </row>
    <row r="59" ht="45.25" customHeight="1" spans="1:11">
      <c r="A59" s="41"/>
      <c r="B59" s="43"/>
      <c r="C59" s="96" t="s">
        <v>229</v>
      </c>
      <c r="D59" s="48" t="s">
        <v>230</v>
      </c>
      <c r="E59" s="21" t="s">
        <v>231</v>
      </c>
      <c r="F59" s="53" t="s">
        <v>232</v>
      </c>
      <c r="G59" s="71">
        <v>12</v>
      </c>
      <c r="H59" s="72" t="s">
        <v>43</v>
      </c>
      <c r="I59" s="73">
        <f t="shared" si="1"/>
        <v>12</v>
      </c>
      <c r="J59" s="75"/>
      <c r="K59" s="210">
        <v>12</v>
      </c>
    </row>
    <row r="60" ht="22" customHeight="1" spans="1:11">
      <c r="A60" s="41"/>
      <c r="B60" s="43"/>
      <c r="C60" s="96" t="s">
        <v>233</v>
      </c>
      <c r="D60" s="48" t="s">
        <v>234</v>
      </c>
      <c r="E60" s="21" t="s">
        <v>235</v>
      </c>
      <c r="F60" s="53" t="s">
        <v>236</v>
      </c>
      <c r="G60" s="71">
        <v>10</v>
      </c>
      <c r="H60" s="72" t="s">
        <v>43</v>
      </c>
      <c r="I60" s="73">
        <f t="shared" si="1"/>
        <v>10</v>
      </c>
      <c r="J60" s="75"/>
      <c r="K60" s="210"/>
    </row>
    <row r="61" ht="22" customHeight="1" spans="1:11">
      <c r="A61" s="41"/>
      <c r="B61" s="43"/>
      <c r="C61" s="152" t="s">
        <v>237</v>
      </c>
      <c r="D61" s="48" t="s">
        <v>238</v>
      </c>
      <c r="E61" s="21" t="s">
        <v>239</v>
      </c>
      <c r="F61" s="53" t="s">
        <v>240</v>
      </c>
      <c r="G61" s="71">
        <v>1</v>
      </c>
      <c r="H61" s="72" t="s">
        <v>43</v>
      </c>
      <c r="I61" s="73">
        <f t="shared" si="1"/>
        <v>1</v>
      </c>
      <c r="J61" s="75"/>
      <c r="K61" s="210"/>
    </row>
    <row r="62" ht="20" customHeight="1" spans="1:11">
      <c r="A62" s="41"/>
      <c r="B62" s="43"/>
      <c r="C62" s="42"/>
      <c r="D62" s="48" t="s">
        <v>241</v>
      </c>
      <c r="E62" s="21" t="s">
        <v>242</v>
      </c>
      <c r="F62" s="53" t="s">
        <v>243</v>
      </c>
      <c r="G62" s="71">
        <v>3</v>
      </c>
      <c r="H62" s="72" t="s">
        <v>43</v>
      </c>
      <c r="I62" s="73">
        <f t="shared" si="1"/>
        <v>3</v>
      </c>
      <c r="J62" s="75"/>
      <c r="K62" s="210">
        <v>10</v>
      </c>
    </row>
    <row r="63" ht="20" customHeight="1" spans="1:11">
      <c r="A63" s="41"/>
      <c r="B63" s="44" t="s">
        <v>244</v>
      </c>
      <c r="C63" s="44" t="s">
        <v>245</v>
      </c>
      <c r="D63" s="48" t="s">
        <v>246</v>
      </c>
      <c r="E63" s="21" t="s">
        <v>247</v>
      </c>
      <c r="F63" s="53"/>
      <c r="G63" s="71">
        <v>2</v>
      </c>
      <c r="H63" s="72" t="s">
        <v>43</v>
      </c>
      <c r="I63" s="73">
        <f t="shared" si="1"/>
        <v>2</v>
      </c>
      <c r="J63" s="74">
        <f>SUM(I63:I96)</f>
        <v>109</v>
      </c>
      <c r="K63" s="210">
        <v>2</v>
      </c>
    </row>
    <row r="64" ht="20" customHeight="1" spans="1:11">
      <c r="A64" s="41"/>
      <c r="B64" s="43"/>
      <c r="C64" s="43"/>
      <c r="D64" s="48" t="s">
        <v>248</v>
      </c>
      <c r="E64" s="21" t="s">
        <v>249</v>
      </c>
      <c r="F64" s="53"/>
      <c r="G64" s="71">
        <v>3</v>
      </c>
      <c r="H64" s="72" t="s">
        <v>43</v>
      </c>
      <c r="I64" s="73">
        <f t="shared" ref="I64:I83" si="2">IF(H65&lt;&gt;0,G65,0)</f>
        <v>3</v>
      </c>
      <c r="J64" s="75"/>
      <c r="K64" s="210">
        <v>3</v>
      </c>
    </row>
    <row r="65" ht="20" customHeight="1" spans="1:11">
      <c r="A65" s="41"/>
      <c r="B65" s="43"/>
      <c r="C65" s="43"/>
      <c r="D65" s="48" t="s">
        <v>250</v>
      </c>
      <c r="E65" s="21" t="s">
        <v>251</v>
      </c>
      <c r="F65" s="53" t="s">
        <v>252</v>
      </c>
      <c r="G65" s="71">
        <v>3</v>
      </c>
      <c r="H65" s="72" t="s">
        <v>43</v>
      </c>
      <c r="I65" s="73">
        <f t="shared" si="2"/>
        <v>3</v>
      </c>
      <c r="J65" s="75"/>
      <c r="K65" s="210">
        <v>3</v>
      </c>
    </row>
    <row r="66" ht="20" customHeight="1" spans="1:11">
      <c r="A66" s="41"/>
      <c r="B66" s="43"/>
      <c r="C66" s="45"/>
      <c r="D66" s="48" t="s">
        <v>253</v>
      </c>
      <c r="E66" s="21" t="s">
        <v>254</v>
      </c>
      <c r="F66" s="53" t="s">
        <v>255</v>
      </c>
      <c r="G66" s="71">
        <v>3</v>
      </c>
      <c r="H66" s="72" t="s">
        <v>43</v>
      </c>
      <c r="I66" s="73">
        <f t="shared" si="2"/>
        <v>10</v>
      </c>
      <c r="J66" s="75"/>
      <c r="K66" s="210">
        <v>3</v>
      </c>
    </row>
    <row r="67" ht="20" customHeight="1" spans="1:11">
      <c r="A67" s="41"/>
      <c r="B67" s="43"/>
      <c r="C67" s="15" t="s">
        <v>256</v>
      </c>
      <c r="D67" s="48" t="s">
        <v>257</v>
      </c>
      <c r="E67" s="21" t="s">
        <v>258</v>
      </c>
      <c r="F67" s="95"/>
      <c r="G67" s="71">
        <v>10</v>
      </c>
      <c r="H67" s="72" t="s">
        <v>43</v>
      </c>
      <c r="I67" s="73">
        <f t="shared" si="2"/>
        <v>6</v>
      </c>
      <c r="J67" s="75"/>
      <c r="K67" s="210">
        <v>10</v>
      </c>
    </row>
    <row r="68" ht="20" customHeight="1" spans="1:11">
      <c r="A68" s="41"/>
      <c r="B68" s="43"/>
      <c r="C68" s="15" t="s">
        <v>259</v>
      </c>
      <c r="D68" s="48" t="s">
        <v>259</v>
      </c>
      <c r="E68" s="21" t="s">
        <v>260</v>
      </c>
      <c r="F68" s="53" t="s">
        <v>261</v>
      </c>
      <c r="G68" s="71">
        <v>6</v>
      </c>
      <c r="H68" s="72" t="s">
        <v>43</v>
      </c>
      <c r="I68" s="73">
        <f t="shared" si="2"/>
        <v>2</v>
      </c>
      <c r="J68" s="75"/>
      <c r="K68" s="210">
        <v>6</v>
      </c>
    </row>
    <row r="69" ht="20" customHeight="1" spans="1:11">
      <c r="A69" s="41"/>
      <c r="B69" s="43"/>
      <c r="C69" s="44" t="s">
        <v>262</v>
      </c>
      <c r="D69" s="48" t="s">
        <v>263</v>
      </c>
      <c r="E69" s="21" t="s">
        <v>264</v>
      </c>
      <c r="F69" s="53"/>
      <c r="G69" s="71">
        <v>2</v>
      </c>
      <c r="H69" s="72" t="s">
        <v>43</v>
      </c>
      <c r="I69" s="73">
        <f t="shared" si="2"/>
        <v>2</v>
      </c>
      <c r="J69" s="75"/>
      <c r="K69" s="210">
        <v>2</v>
      </c>
    </row>
    <row r="70" ht="20" customHeight="1" spans="1:11">
      <c r="A70" s="41"/>
      <c r="B70" s="43"/>
      <c r="C70" s="43"/>
      <c r="D70" s="48" t="s">
        <v>265</v>
      </c>
      <c r="E70" s="21" t="s">
        <v>266</v>
      </c>
      <c r="F70" s="53"/>
      <c r="G70" s="71">
        <v>2</v>
      </c>
      <c r="H70" s="72" t="s">
        <v>43</v>
      </c>
      <c r="I70" s="73">
        <f t="shared" si="2"/>
        <v>3</v>
      </c>
      <c r="J70" s="75"/>
      <c r="K70" s="210">
        <v>2</v>
      </c>
    </row>
    <row r="71" ht="20" customHeight="1" spans="1:11">
      <c r="A71" s="41"/>
      <c r="B71" s="43"/>
      <c r="C71" s="43"/>
      <c r="D71" s="48" t="s">
        <v>267</v>
      </c>
      <c r="E71" s="21" t="s">
        <v>268</v>
      </c>
      <c r="F71" s="53"/>
      <c r="G71" s="71">
        <v>3</v>
      </c>
      <c r="H71" s="72" t="s">
        <v>43</v>
      </c>
      <c r="I71" s="73">
        <f t="shared" si="2"/>
        <v>2</v>
      </c>
      <c r="J71" s="75"/>
      <c r="K71" s="210">
        <v>3</v>
      </c>
    </row>
    <row r="72" ht="20" customHeight="1" spans="1:11">
      <c r="A72" s="41"/>
      <c r="B72" s="43"/>
      <c r="C72" s="43"/>
      <c r="D72" s="48" t="s">
        <v>269</v>
      </c>
      <c r="E72" s="21" t="s">
        <v>270</v>
      </c>
      <c r="F72" s="53"/>
      <c r="G72" s="71">
        <v>2</v>
      </c>
      <c r="H72" s="72" t="s">
        <v>43</v>
      </c>
      <c r="I72" s="73">
        <f t="shared" si="2"/>
        <v>3</v>
      </c>
      <c r="J72" s="75"/>
      <c r="K72" s="210">
        <v>2</v>
      </c>
    </row>
    <row r="73" ht="20" customHeight="1" spans="1:11">
      <c r="A73" s="41"/>
      <c r="B73" s="43"/>
      <c r="C73" s="45"/>
      <c r="D73" s="48" t="s">
        <v>271</v>
      </c>
      <c r="E73" s="21" t="s">
        <v>272</v>
      </c>
      <c r="F73" s="53" t="s">
        <v>255</v>
      </c>
      <c r="G73" s="71">
        <v>3</v>
      </c>
      <c r="H73" s="72" t="s">
        <v>43</v>
      </c>
      <c r="I73" s="73">
        <f t="shared" si="2"/>
        <v>1</v>
      </c>
      <c r="J73" s="75"/>
      <c r="K73" s="210">
        <v>3</v>
      </c>
    </row>
    <row r="74" ht="20" customHeight="1" spans="1:11">
      <c r="A74" s="41"/>
      <c r="B74" s="43"/>
      <c r="C74" s="15" t="s">
        <v>273</v>
      </c>
      <c r="D74" s="48" t="s">
        <v>273</v>
      </c>
      <c r="E74" s="21" t="s">
        <v>274</v>
      </c>
      <c r="F74" s="53"/>
      <c r="G74" s="71">
        <v>1</v>
      </c>
      <c r="H74" s="72" t="s">
        <v>43</v>
      </c>
      <c r="I74" s="73">
        <f t="shared" si="2"/>
        <v>2</v>
      </c>
      <c r="J74" s="75"/>
      <c r="K74" s="210">
        <v>1</v>
      </c>
    </row>
    <row r="75" ht="20" customHeight="1" spans="1:11">
      <c r="A75" s="41"/>
      <c r="B75" s="43"/>
      <c r="C75" s="15" t="s">
        <v>275</v>
      </c>
      <c r="D75" s="48" t="s">
        <v>276</v>
      </c>
      <c r="E75" s="21" t="s">
        <v>277</v>
      </c>
      <c r="F75" s="53"/>
      <c r="G75" s="71">
        <v>2</v>
      </c>
      <c r="H75" s="72" t="s">
        <v>43</v>
      </c>
      <c r="I75" s="73">
        <f t="shared" si="2"/>
        <v>6</v>
      </c>
      <c r="J75" s="75"/>
      <c r="K75" s="210">
        <v>2</v>
      </c>
    </row>
    <row r="76" ht="20" customHeight="1" spans="1:11">
      <c r="A76" s="41"/>
      <c r="B76" s="43"/>
      <c r="C76" s="96" t="s">
        <v>278</v>
      </c>
      <c r="D76" s="48" t="s">
        <v>278</v>
      </c>
      <c r="E76" s="21" t="s">
        <v>279</v>
      </c>
      <c r="F76" s="53" t="s">
        <v>280</v>
      </c>
      <c r="G76" s="71">
        <v>6</v>
      </c>
      <c r="H76" s="72" t="s">
        <v>43</v>
      </c>
      <c r="I76" s="73">
        <f t="shared" si="2"/>
        <v>3</v>
      </c>
      <c r="J76" s="75"/>
      <c r="K76" s="210">
        <v>6</v>
      </c>
    </row>
    <row r="77" ht="20" customHeight="1" spans="1:11">
      <c r="A77" s="41"/>
      <c r="B77" s="43"/>
      <c r="C77" s="44" t="s">
        <v>281</v>
      </c>
      <c r="D77" s="48" t="s">
        <v>282</v>
      </c>
      <c r="E77" s="21" t="s">
        <v>283</v>
      </c>
      <c r="F77" s="53"/>
      <c r="G77" s="71">
        <v>3</v>
      </c>
      <c r="H77" s="72" t="s">
        <v>43</v>
      </c>
      <c r="I77" s="73">
        <f t="shared" si="2"/>
        <v>2</v>
      </c>
      <c r="J77" s="75"/>
      <c r="K77" s="210">
        <v>3</v>
      </c>
    </row>
    <row r="78" ht="20" customHeight="1" spans="1:11">
      <c r="A78" s="41"/>
      <c r="B78" s="43"/>
      <c r="C78" s="43"/>
      <c r="D78" s="48" t="s">
        <v>284</v>
      </c>
      <c r="E78" s="21" t="s">
        <v>285</v>
      </c>
      <c r="F78" s="53"/>
      <c r="G78" s="71">
        <v>2</v>
      </c>
      <c r="H78" s="72" t="s">
        <v>43</v>
      </c>
      <c r="I78" s="73">
        <f t="shared" si="2"/>
        <v>3</v>
      </c>
      <c r="J78" s="75"/>
      <c r="K78" s="210">
        <v>2</v>
      </c>
    </row>
    <row r="79" ht="20" customHeight="1" spans="1:11">
      <c r="A79" s="41"/>
      <c r="B79" s="43"/>
      <c r="C79" s="45"/>
      <c r="D79" s="48" t="s">
        <v>286</v>
      </c>
      <c r="E79" s="21" t="s">
        <v>287</v>
      </c>
      <c r="F79" s="53"/>
      <c r="G79" s="71">
        <v>3</v>
      </c>
      <c r="H79" s="72" t="s">
        <v>43</v>
      </c>
      <c r="I79" s="73">
        <f t="shared" si="2"/>
        <v>5</v>
      </c>
      <c r="J79" s="75"/>
      <c r="K79" s="210">
        <v>3</v>
      </c>
    </row>
    <row r="80" ht="20" customHeight="1" spans="1:11">
      <c r="A80" s="41"/>
      <c r="B80" s="43"/>
      <c r="C80" s="15" t="s">
        <v>288</v>
      </c>
      <c r="D80" s="48" t="s">
        <v>288</v>
      </c>
      <c r="E80" s="21" t="s">
        <v>289</v>
      </c>
      <c r="F80" s="53" t="s">
        <v>290</v>
      </c>
      <c r="G80" s="71">
        <v>5</v>
      </c>
      <c r="H80" s="72" t="s">
        <v>43</v>
      </c>
      <c r="I80" s="73">
        <f t="shared" si="2"/>
        <v>5</v>
      </c>
      <c r="J80" s="75"/>
      <c r="K80" s="210">
        <v>5</v>
      </c>
    </row>
    <row r="81" ht="20" customHeight="1" spans="1:11">
      <c r="A81" s="41"/>
      <c r="B81" s="43"/>
      <c r="C81" s="15" t="s">
        <v>291</v>
      </c>
      <c r="D81" s="48" t="s">
        <v>292</v>
      </c>
      <c r="E81" s="21" t="s">
        <v>293</v>
      </c>
      <c r="F81" s="53" t="s">
        <v>294</v>
      </c>
      <c r="G81" s="71">
        <v>5</v>
      </c>
      <c r="H81" s="72" t="s">
        <v>43</v>
      </c>
      <c r="I81" s="73">
        <f t="shared" si="2"/>
        <v>3</v>
      </c>
      <c r="J81" s="75"/>
      <c r="K81" s="210">
        <v>5</v>
      </c>
    </row>
    <row r="82" ht="20" customHeight="1" spans="1:11">
      <c r="A82" s="41"/>
      <c r="B82" s="43"/>
      <c r="C82" s="15" t="s">
        <v>295</v>
      </c>
      <c r="D82" s="48" t="s">
        <v>295</v>
      </c>
      <c r="E82" s="21" t="s">
        <v>296</v>
      </c>
      <c r="F82" s="53"/>
      <c r="G82" s="71">
        <v>3</v>
      </c>
      <c r="H82" s="72" t="s">
        <v>43</v>
      </c>
      <c r="I82" s="73">
        <f t="shared" si="2"/>
        <v>3</v>
      </c>
      <c r="J82" s="75"/>
      <c r="K82" s="210">
        <v>3</v>
      </c>
    </row>
    <row r="83" ht="20" customHeight="1" spans="1:11">
      <c r="A83" s="41"/>
      <c r="B83" s="43"/>
      <c r="C83" s="15" t="s">
        <v>297</v>
      </c>
      <c r="D83" s="48" t="s">
        <v>298</v>
      </c>
      <c r="E83" s="21" t="s">
        <v>299</v>
      </c>
      <c r="F83" s="53"/>
      <c r="G83" s="71">
        <v>3</v>
      </c>
      <c r="H83" s="72" t="s">
        <v>43</v>
      </c>
      <c r="I83" s="73">
        <f t="shared" si="2"/>
        <v>2</v>
      </c>
      <c r="J83" s="75"/>
      <c r="K83" s="210">
        <v>3</v>
      </c>
    </row>
    <row r="84" ht="20" customHeight="1" spans="1:11">
      <c r="A84" s="41"/>
      <c r="B84" s="43"/>
      <c r="C84" s="44" t="s">
        <v>300</v>
      </c>
      <c r="D84" s="48" t="s">
        <v>301</v>
      </c>
      <c r="E84" s="21" t="s">
        <v>302</v>
      </c>
      <c r="F84" s="53" t="s">
        <v>303</v>
      </c>
      <c r="G84" s="71">
        <v>2</v>
      </c>
      <c r="H84" s="72" t="s">
        <v>43</v>
      </c>
      <c r="I84" s="73">
        <f t="shared" ref="I84:I97" si="3">IF(H84&lt;&gt;0,G84,0)</f>
        <v>2</v>
      </c>
      <c r="J84" s="75"/>
      <c r="K84" s="212" t="s">
        <v>304</v>
      </c>
    </row>
    <row r="85" ht="20" customHeight="1" spans="1:11">
      <c r="A85" s="41"/>
      <c r="B85" s="43"/>
      <c r="C85" s="43"/>
      <c r="D85" s="48" t="s">
        <v>305</v>
      </c>
      <c r="E85" s="21" t="s">
        <v>306</v>
      </c>
      <c r="F85" s="53"/>
      <c r="G85" s="71">
        <v>5</v>
      </c>
      <c r="H85" s="72" t="s">
        <v>43</v>
      </c>
      <c r="I85" s="73">
        <f t="shared" si="3"/>
        <v>5</v>
      </c>
      <c r="J85" s="75"/>
      <c r="K85" s="213"/>
    </row>
    <row r="86" ht="20" customHeight="1" spans="1:11">
      <c r="A86" s="41"/>
      <c r="B86" s="43"/>
      <c r="C86" s="43"/>
      <c r="D86" s="48" t="s">
        <v>307</v>
      </c>
      <c r="E86" s="21" t="s">
        <v>308</v>
      </c>
      <c r="F86" s="53"/>
      <c r="G86" s="71">
        <v>5</v>
      </c>
      <c r="H86" s="72" t="s">
        <v>43</v>
      </c>
      <c r="I86" s="73">
        <f t="shared" si="3"/>
        <v>5</v>
      </c>
      <c r="J86" s="75"/>
      <c r="K86" s="213"/>
    </row>
    <row r="87" ht="20" customHeight="1" spans="1:11">
      <c r="A87" s="41"/>
      <c r="B87" s="43"/>
      <c r="C87" s="43"/>
      <c r="D87" s="48" t="s">
        <v>309</v>
      </c>
      <c r="E87" s="21" t="s">
        <v>310</v>
      </c>
      <c r="F87" s="53"/>
      <c r="G87" s="71">
        <v>3</v>
      </c>
      <c r="H87" s="72" t="s">
        <v>43</v>
      </c>
      <c r="I87" s="73">
        <f t="shared" si="3"/>
        <v>3</v>
      </c>
      <c r="J87" s="75"/>
      <c r="K87" s="213"/>
    </row>
    <row r="88" ht="20" customHeight="1" spans="1:11">
      <c r="A88" s="41"/>
      <c r="B88" s="43"/>
      <c r="C88" s="45"/>
      <c r="D88" s="48" t="s">
        <v>311</v>
      </c>
      <c r="E88" s="21" t="s">
        <v>312</v>
      </c>
      <c r="F88" s="53"/>
      <c r="G88" s="71">
        <v>5</v>
      </c>
      <c r="H88" s="72" t="s">
        <v>43</v>
      </c>
      <c r="I88" s="73">
        <f t="shared" si="3"/>
        <v>5</v>
      </c>
      <c r="J88" s="75"/>
      <c r="K88" s="214"/>
    </row>
    <row r="89" ht="32" customHeight="1" spans="1:11">
      <c r="A89" s="41"/>
      <c r="B89" s="43"/>
      <c r="C89" s="44" t="s">
        <v>313</v>
      </c>
      <c r="D89" s="48" t="s">
        <v>314</v>
      </c>
      <c r="E89" s="21" t="s">
        <v>315</v>
      </c>
      <c r="F89" s="53"/>
      <c r="G89" s="71">
        <v>1</v>
      </c>
      <c r="H89" s="72" t="s">
        <v>43</v>
      </c>
      <c r="I89" s="73">
        <f t="shared" si="3"/>
        <v>1</v>
      </c>
      <c r="J89" s="75"/>
      <c r="K89" s="212" t="s">
        <v>316</v>
      </c>
    </row>
    <row r="90" ht="33.75" customHeight="1" spans="1:11">
      <c r="A90" s="41"/>
      <c r="B90" s="43"/>
      <c r="C90" s="43"/>
      <c r="D90" s="48" t="s">
        <v>317</v>
      </c>
      <c r="E90" s="21" t="s">
        <v>318</v>
      </c>
      <c r="F90" s="53"/>
      <c r="G90" s="71">
        <v>3</v>
      </c>
      <c r="H90" s="72" t="s">
        <v>43</v>
      </c>
      <c r="I90" s="73">
        <f t="shared" si="3"/>
        <v>3</v>
      </c>
      <c r="J90" s="75"/>
      <c r="K90" s="213"/>
    </row>
    <row r="91" ht="44.75" customHeight="1" spans="1:11">
      <c r="A91" s="41"/>
      <c r="B91" s="43"/>
      <c r="C91" s="43"/>
      <c r="D91" s="48" t="s">
        <v>319</v>
      </c>
      <c r="E91" s="21" t="s">
        <v>320</v>
      </c>
      <c r="F91" s="53"/>
      <c r="G91" s="71">
        <v>3</v>
      </c>
      <c r="H91" s="72" t="s">
        <v>43</v>
      </c>
      <c r="I91" s="73">
        <f t="shared" si="3"/>
        <v>3</v>
      </c>
      <c r="J91" s="75"/>
      <c r="K91" s="213"/>
    </row>
    <row r="92" ht="25.25" customHeight="1" spans="1:11">
      <c r="A92" s="41"/>
      <c r="B92" s="43"/>
      <c r="C92" s="45"/>
      <c r="D92" s="48" t="s">
        <v>321</v>
      </c>
      <c r="E92" s="21" t="s">
        <v>322</v>
      </c>
      <c r="F92" s="53"/>
      <c r="G92" s="71">
        <v>3</v>
      </c>
      <c r="H92" s="72" t="s">
        <v>43</v>
      </c>
      <c r="I92" s="73">
        <f t="shared" si="3"/>
        <v>3</v>
      </c>
      <c r="J92" s="75"/>
      <c r="K92" s="214"/>
    </row>
    <row r="93" ht="54.75" customHeight="1" spans="1:11">
      <c r="A93" s="41"/>
      <c r="B93" s="43"/>
      <c r="C93" s="211" t="s">
        <v>323</v>
      </c>
      <c r="D93" s="48" t="s">
        <v>314</v>
      </c>
      <c r="E93" s="21" t="s">
        <v>324</v>
      </c>
      <c r="F93" s="53"/>
      <c r="G93" s="71">
        <v>2</v>
      </c>
      <c r="H93" s="72" t="s">
        <v>43</v>
      </c>
      <c r="I93" s="73">
        <f t="shared" si="3"/>
        <v>2</v>
      </c>
      <c r="J93" s="75"/>
      <c r="K93" s="212" t="s">
        <v>325</v>
      </c>
    </row>
    <row r="94" ht="22.75" customHeight="1" spans="1:11">
      <c r="A94" s="41"/>
      <c r="B94" s="43"/>
      <c r="C94" s="43"/>
      <c r="D94" s="48" t="s">
        <v>326</v>
      </c>
      <c r="E94" s="21" t="s">
        <v>327</v>
      </c>
      <c r="F94" s="53"/>
      <c r="G94" s="71">
        <v>1</v>
      </c>
      <c r="H94" s="72" t="s">
        <v>43</v>
      </c>
      <c r="I94" s="73">
        <f t="shared" si="3"/>
        <v>1</v>
      </c>
      <c r="J94" s="75"/>
      <c r="K94" s="213"/>
    </row>
    <row r="95" ht="54.75" customHeight="1" spans="1:11">
      <c r="A95" s="41"/>
      <c r="B95" s="43"/>
      <c r="C95" s="43"/>
      <c r="D95" s="48" t="s">
        <v>328</v>
      </c>
      <c r="E95" s="21" t="s">
        <v>329</v>
      </c>
      <c r="F95" s="53"/>
      <c r="G95" s="71">
        <v>3</v>
      </c>
      <c r="H95" s="72" t="s">
        <v>43</v>
      </c>
      <c r="I95" s="73">
        <f t="shared" si="3"/>
        <v>3</v>
      </c>
      <c r="J95" s="75"/>
      <c r="K95" s="213"/>
    </row>
    <row r="96" ht="20" customHeight="1" spans="1:11">
      <c r="A96" s="41"/>
      <c r="B96" s="45"/>
      <c r="C96" s="45"/>
      <c r="D96" s="48" t="s">
        <v>330</v>
      </c>
      <c r="E96" s="21" t="s">
        <v>331</v>
      </c>
      <c r="F96" s="53"/>
      <c r="G96" s="71">
        <v>2</v>
      </c>
      <c r="H96" s="72" t="s">
        <v>43</v>
      </c>
      <c r="I96" s="73">
        <f t="shared" si="3"/>
        <v>2</v>
      </c>
      <c r="J96" s="75"/>
      <c r="K96" s="214"/>
    </row>
    <row r="97" ht="20" customHeight="1" spans="1:11">
      <c r="A97" s="41"/>
      <c r="B97" s="55" t="s">
        <v>332</v>
      </c>
      <c r="C97" s="15" t="s">
        <v>333</v>
      </c>
      <c r="D97" s="48" t="s">
        <v>334</v>
      </c>
      <c r="E97" s="21" t="s">
        <v>335</v>
      </c>
      <c r="F97" s="53" t="s">
        <v>336</v>
      </c>
      <c r="G97" s="71">
        <v>7</v>
      </c>
      <c r="H97" s="72" t="s">
        <v>43</v>
      </c>
      <c r="I97" s="73">
        <f t="shared" si="3"/>
        <v>7</v>
      </c>
      <c r="J97" s="74">
        <f>SUM(I97:I107)</f>
        <v>84</v>
      </c>
      <c r="K97" s="210" t="s">
        <v>337</v>
      </c>
    </row>
    <row r="98" ht="20" customHeight="1" spans="1:11">
      <c r="A98" s="41"/>
      <c r="B98" s="15"/>
      <c r="C98" s="55" t="s">
        <v>338</v>
      </c>
      <c r="D98" s="48" t="s">
        <v>338</v>
      </c>
      <c r="E98" s="21" t="s">
        <v>339</v>
      </c>
      <c r="F98" s="53" t="s">
        <v>340</v>
      </c>
      <c r="G98" s="71">
        <v>2</v>
      </c>
      <c r="H98" s="72" t="s">
        <v>43</v>
      </c>
      <c r="I98" s="73">
        <f t="shared" ref="I98:I127" si="4">IF(H99&lt;&gt;0,G99,0)</f>
        <v>2</v>
      </c>
      <c r="J98" s="75"/>
      <c r="K98" s="210" t="s">
        <v>341</v>
      </c>
    </row>
    <row r="99" ht="20" customHeight="1" spans="1:11">
      <c r="A99" s="41"/>
      <c r="B99" s="15"/>
      <c r="C99" s="15"/>
      <c r="D99" s="48" t="s">
        <v>342</v>
      </c>
      <c r="E99" s="21" t="s">
        <v>343</v>
      </c>
      <c r="F99" s="53" t="s">
        <v>344</v>
      </c>
      <c r="G99" s="71">
        <v>2</v>
      </c>
      <c r="H99" s="72" t="s">
        <v>43</v>
      </c>
      <c r="I99" s="73">
        <f t="shared" si="4"/>
        <v>12</v>
      </c>
      <c r="J99" s="75"/>
      <c r="K99" s="210" t="s">
        <v>345</v>
      </c>
    </row>
    <row r="100" ht="20" customHeight="1" spans="1:11">
      <c r="A100" s="41"/>
      <c r="B100" s="15"/>
      <c r="C100" s="15" t="s">
        <v>346</v>
      </c>
      <c r="D100" s="48" t="s">
        <v>347</v>
      </c>
      <c r="E100" s="21" t="s">
        <v>348</v>
      </c>
      <c r="F100" s="53" t="s">
        <v>349</v>
      </c>
      <c r="G100" s="71">
        <v>12</v>
      </c>
      <c r="H100" s="72" t="s">
        <v>43</v>
      </c>
      <c r="I100" s="73">
        <f t="shared" si="4"/>
        <v>15</v>
      </c>
      <c r="J100" s="75"/>
      <c r="K100" s="210">
        <v>12</v>
      </c>
    </row>
    <row r="101" ht="20" customHeight="1" spans="1:11">
      <c r="A101" s="41"/>
      <c r="B101" s="15"/>
      <c r="C101" s="15" t="s">
        <v>350</v>
      </c>
      <c r="D101" s="48" t="s">
        <v>350</v>
      </c>
      <c r="E101" s="21" t="s">
        <v>351</v>
      </c>
      <c r="F101" s="53" t="s">
        <v>352</v>
      </c>
      <c r="G101" s="71">
        <v>15</v>
      </c>
      <c r="H101" s="72" t="s">
        <v>43</v>
      </c>
      <c r="I101" s="73">
        <f t="shared" si="4"/>
        <v>8</v>
      </c>
      <c r="J101" s="75"/>
      <c r="K101" s="210">
        <v>15</v>
      </c>
    </row>
    <row r="102" ht="20" customHeight="1" spans="1:11">
      <c r="A102" s="41"/>
      <c r="B102" s="15"/>
      <c r="C102" s="15" t="s">
        <v>353</v>
      </c>
      <c r="D102" s="48" t="s">
        <v>354</v>
      </c>
      <c r="E102" s="21" t="s">
        <v>355</v>
      </c>
      <c r="F102" s="53" t="s">
        <v>356</v>
      </c>
      <c r="G102" s="71">
        <v>8</v>
      </c>
      <c r="H102" s="72" t="s">
        <v>43</v>
      </c>
      <c r="I102" s="73">
        <f t="shared" si="4"/>
        <v>2</v>
      </c>
      <c r="J102" s="75"/>
      <c r="K102" s="210" t="s">
        <v>357</v>
      </c>
    </row>
    <row r="103" ht="20" customHeight="1" spans="1:11">
      <c r="A103" s="41"/>
      <c r="B103" s="15"/>
      <c r="C103" s="15" t="s">
        <v>358</v>
      </c>
      <c r="D103" s="48" t="s">
        <v>359</v>
      </c>
      <c r="E103" s="21" t="s">
        <v>360</v>
      </c>
      <c r="F103" s="53" t="s">
        <v>361</v>
      </c>
      <c r="G103" s="71">
        <v>2</v>
      </c>
      <c r="H103" s="72" t="s">
        <v>43</v>
      </c>
      <c r="I103" s="73">
        <f t="shared" si="4"/>
        <v>6</v>
      </c>
      <c r="J103" s="75"/>
      <c r="K103" s="210" t="s">
        <v>362</v>
      </c>
    </row>
    <row r="104" ht="20" customHeight="1" spans="1:11">
      <c r="A104" s="41"/>
      <c r="B104" s="15"/>
      <c r="C104" s="15" t="s">
        <v>363</v>
      </c>
      <c r="D104" s="48" t="s">
        <v>364</v>
      </c>
      <c r="E104" s="21" t="s">
        <v>365</v>
      </c>
      <c r="F104" s="53" t="s">
        <v>366</v>
      </c>
      <c r="G104" s="71">
        <v>6</v>
      </c>
      <c r="H104" s="72" t="s">
        <v>43</v>
      </c>
      <c r="I104" s="73">
        <f t="shared" si="4"/>
        <v>15</v>
      </c>
      <c r="J104" s="75"/>
      <c r="K104" s="210">
        <v>6</v>
      </c>
    </row>
    <row r="105" ht="20" customHeight="1" spans="1:11">
      <c r="A105" s="41"/>
      <c r="B105" s="15"/>
      <c r="C105" s="44" t="s">
        <v>367</v>
      </c>
      <c r="D105" s="48" t="s">
        <v>368</v>
      </c>
      <c r="E105" s="21" t="s">
        <v>369</v>
      </c>
      <c r="F105" s="53" t="s">
        <v>370</v>
      </c>
      <c r="G105" s="71">
        <v>15</v>
      </c>
      <c r="H105" s="72" t="s">
        <v>43</v>
      </c>
      <c r="I105" s="73">
        <f t="shared" si="4"/>
        <v>1</v>
      </c>
      <c r="J105" s="75"/>
      <c r="K105" s="210" t="s">
        <v>371</v>
      </c>
    </row>
    <row r="106" ht="20" customHeight="1" spans="1:11">
      <c r="A106" s="41"/>
      <c r="B106" s="15"/>
      <c r="C106" s="45"/>
      <c r="D106" s="48" t="s">
        <v>372</v>
      </c>
      <c r="E106" s="21" t="s">
        <v>373</v>
      </c>
      <c r="F106" s="53" t="s">
        <v>374</v>
      </c>
      <c r="G106" s="71">
        <v>1</v>
      </c>
      <c r="H106" s="72" t="s">
        <v>43</v>
      </c>
      <c r="I106" s="73">
        <f t="shared" si="4"/>
        <v>15</v>
      </c>
      <c r="J106" s="75"/>
      <c r="K106" s="210" t="s">
        <v>375</v>
      </c>
    </row>
    <row r="107" ht="20" customHeight="1" spans="1:11">
      <c r="A107" s="41"/>
      <c r="B107" s="15"/>
      <c r="C107" s="15" t="s">
        <v>376</v>
      </c>
      <c r="D107" s="48" t="s">
        <v>376</v>
      </c>
      <c r="E107" s="21" t="s">
        <v>377</v>
      </c>
      <c r="F107" s="53" t="s">
        <v>352</v>
      </c>
      <c r="G107" s="71">
        <v>15</v>
      </c>
      <c r="H107" s="72" t="s">
        <v>43</v>
      </c>
      <c r="I107" s="73">
        <f t="shared" si="4"/>
        <v>1</v>
      </c>
      <c r="J107" s="75"/>
      <c r="K107" s="210">
        <v>15</v>
      </c>
    </row>
    <row r="108" ht="20" customHeight="1" spans="1:11">
      <c r="A108" s="41"/>
      <c r="B108" s="55" t="s">
        <v>378</v>
      </c>
      <c r="C108" s="55" t="s">
        <v>379</v>
      </c>
      <c r="D108" s="48" t="s">
        <v>380</v>
      </c>
      <c r="E108" s="21" t="s">
        <v>381</v>
      </c>
      <c r="F108" s="53" t="s">
        <v>382</v>
      </c>
      <c r="G108" s="71">
        <v>1</v>
      </c>
      <c r="H108" s="72" t="s">
        <v>43</v>
      </c>
      <c r="I108" s="73">
        <f t="shared" si="4"/>
        <v>1</v>
      </c>
      <c r="J108" s="74">
        <f>SUM(I108:I115)</f>
        <v>15</v>
      </c>
      <c r="K108" s="210" t="s">
        <v>375</v>
      </c>
    </row>
    <row r="109" ht="20" customHeight="1" spans="1:11">
      <c r="A109" s="41"/>
      <c r="B109" s="15"/>
      <c r="C109" s="15"/>
      <c r="D109" s="48" t="s">
        <v>383</v>
      </c>
      <c r="E109" s="21" t="s">
        <v>384</v>
      </c>
      <c r="F109" s="53"/>
      <c r="G109" s="71">
        <v>1</v>
      </c>
      <c r="H109" s="72" t="s">
        <v>43</v>
      </c>
      <c r="I109" s="73">
        <f t="shared" si="4"/>
        <v>1</v>
      </c>
      <c r="J109" s="75"/>
      <c r="K109" s="210" t="s">
        <v>385</v>
      </c>
    </row>
    <row r="110" ht="20" customHeight="1" spans="1:11">
      <c r="A110" s="41"/>
      <c r="B110" s="15"/>
      <c r="C110" s="15"/>
      <c r="D110" s="48" t="s">
        <v>386</v>
      </c>
      <c r="E110" s="21" t="s">
        <v>387</v>
      </c>
      <c r="F110" s="53"/>
      <c r="G110" s="71">
        <v>1</v>
      </c>
      <c r="H110" s="72" t="s">
        <v>43</v>
      </c>
      <c r="I110" s="73">
        <f t="shared" si="4"/>
        <v>1</v>
      </c>
      <c r="J110" s="75"/>
      <c r="K110" s="210">
        <v>1</v>
      </c>
    </row>
    <row r="111" ht="20" customHeight="1" spans="1:11">
      <c r="A111" s="41"/>
      <c r="B111" s="15"/>
      <c r="C111" s="15"/>
      <c r="D111" s="48" t="s">
        <v>388</v>
      </c>
      <c r="E111" s="21" t="s">
        <v>389</v>
      </c>
      <c r="F111" s="53"/>
      <c r="G111" s="71">
        <v>1</v>
      </c>
      <c r="H111" s="72" t="s">
        <v>43</v>
      </c>
      <c r="I111" s="73">
        <f t="shared" si="4"/>
        <v>1</v>
      </c>
      <c r="J111" s="75"/>
      <c r="K111" s="210">
        <v>1</v>
      </c>
    </row>
    <row r="112" ht="20" customHeight="1" spans="1:11">
      <c r="A112" s="41"/>
      <c r="B112" s="15"/>
      <c r="C112" s="15"/>
      <c r="D112" s="48" t="s">
        <v>390</v>
      </c>
      <c r="E112" s="21" t="s">
        <v>391</v>
      </c>
      <c r="F112" s="53"/>
      <c r="G112" s="71">
        <v>1</v>
      </c>
      <c r="H112" s="72" t="s">
        <v>43</v>
      </c>
      <c r="I112" s="73">
        <f t="shared" si="4"/>
        <v>0</v>
      </c>
      <c r="J112" s="75"/>
      <c r="K112" s="210">
        <v>1</v>
      </c>
    </row>
    <row r="113" ht="20" customHeight="1" spans="1:11">
      <c r="A113" s="41"/>
      <c r="B113" s="15"/>
      <c r="C113" s="15"/>
      <c r="D113" s="48" t="s">
        <v>392</v>
      </c>
      <c r="E113" s="21" t="s">
        <v>393</v>
      </c>
      <c r="F113" s="53"/>
      <c r="G113" s="71">
        <v>0</v>
      </c>
      <c r="H113" s="72" t="s">
        <v>43</v>
      </c>
      <c r="I113" s="73">
        <f t="shared" si="4"/>
        <v>0</v>
      </c>
      <c r="J113" s="75"/>
      <c r="K113" s="210" t="s">
        <v>394</v>
      </c>
    </row>
    <row r="114" ht="20" customHeight="1" spans="1:11">
      <c r="A114" s="41"/>
      <c r="B114" s="15"/>
      <c r="C114" s="15"/>
      <c r="D114" s="48" t="s">
        <v>395</v>
      </c>
      <c r="E114" s="21" t="s">
        <v>396</v>
      </c>
      <c r="F114" s="53"/>
      <c r="G114" s="71">
        <v>0</v>
      </c>
      <c r="H114" s="72" t="s">
        <v>43</v>
      </c>
      <c r="I114" s="73">
        <f t="shared" si="4"/>
        <v>1</v>
      </c>
      <c r="J114" s="75"/>
      <c r="K114" s="210" t="s">
        <v>397</v>
      </c>
    </row>
    <row r="115" ht="20" customHeight="1" spans="1:11">
      <c r="A115" s="41"/>
      <c r="B115" s="15"/>
      <c r="C115" s="15" t="s">
        <v>398</v>
      </c>
      <c r="D115" s="48" t="s">
        <v>398</v>
      </c>
      <c r="E115" s="21" t="s">
        <v>399</v>
      </c>
      <c r="F115" s="53"/>
      <c r="G115" s="71">
        <v>1</v>
      </c>
      <c r="H115" s="72" t="s">
        <v>43</v>
      </c>
      <c r="I115" s="73">
        <f t="shared" si="4"/>
        <v>10</v>
      </c>
      <c r="J115" s="75"/>
      <c r="K115" s="210" t="s">
        <v>400</v>
      </c>
    </row>
    <row r="116" ht="20" customHeight="1" spans="1:11">
      <c r="A116" s="41"/>
      <c r="B116" s="55" t="s">
        <v>401</v>
      </c>
      <c r="C116" s="15" t="s">
        <v>402</v>
      </c>
      <c r="D116" s="48" t="s">
        <v>402</v>
      </c>
      <c r="E116" s="21" t="s">
        <v>403</v>
      </c>
      <c r="F116" s="53"/>
      <c r="G116" s="71">
        <v>10</v>
      </c>
      <c r="H116" s="72" t="s">
        <v>43</v>
      </c>
      <c r="I116" s="73">
        <f t="shared" si="4"/>
        <v>8</v>
      </c>
      <c r="J116" s="74">
        <f>SUM(I116:I117)</f>
        <v>14</v>
      </c>
      <c r="K116" s="210">
        <v>10</v>
      </c>
    </row>
    <row r="117" ht="20" customHeight="1" spans="1:11">
      <c r="A117" s="41"/>
      <c r="B117" s="15"/>
      <c r="C117" s="15" t="s">
        <v>404</v>
      </c>
      <c r="D117" s="48" t="s">
        <v>405</v>
      </c>
      <c r="E117" s="21" t="s">
        <v>406</v>
      </c>
      <c r="F117" s="53" t="s">
        <v>407</v>
      </c>
      <c r="G117" s="71">
        <v>8</v>
      </c>
      <c r="H117" s="72" t="s">
        <v>43</v>
      </c>
      <c r="I117" s="73">
        <f t="shared" si="4"/>
        <v>6</v>
      </c>
      <c r="J117" s="75"/>
      <c r="K117" s="210">
        <v>8</v>
      </c>
    </row>
    <row r="118" ht="20" customHeight="1" spans="1:11">
      <c r="A118" s="41"/>
      <c r="B118" s="44" t="s">
        <v>408</v>
      </c>
      <c r="C118" s="15" t="s">
        <v>409</v>
      </c>
      <c r="D118" s="48" t="s">
        <v>409</v>
      </c>
      <c r="E118" s="21" t="s">
        <v>410</v>
      </c>
      <c r="F118" s="53"/>
      <c r="G118" s="71">
        <v>6</v>
      </c>
      <c r="H118" s="72" t="s">
        <v>43</v>
      </c>
      <c r="I118" s="73">
        <f t="shared" si="4"/>
        <v>6</v>
      </c>
      <c r="J118" s="74">
        <f>SUM(I118:I127)</f>
        <v>115</v>
      </c>
      <c r="K118" s="210">
        <v>6</v>
      </c>
    </row>
    <row r="119" ht="20" customHeight="1" spans="1:11">
      <c r="A119" s="41"/>
      <c r="B119" s="43"/>
      <c r="C119" s="15" t="s">
        <v>411</v>
      </c>
      <c r="D119" s="48" t="s">
        <v>412</v>
      </c>
      <c r="E119" s="21" t="s">
        <v>413</v>
      </c>
      <c r="F119" s="53" t="s">
        <v>414</v>
      </c>
      <c r="G119" s="71">
        <v>6</v>
      </c>
      <c r="H119" s="72" t="s">
        <v>43</v>
      </c>
      <c r="I119" s="73">
        <f t="shared" si="4"/>
        <v>6</v>
      </c>
      <c r="J119" s="75"/>
      <c r="K119" s="210">
        <v>6</v>
      </c>
    </row>
    <row r="120" ht="27.5" customHeight="1" spans="1:11">
      <c r="A120" s="41"/>
      <c r="B120" s="43"/>
      <c r="C120" s="15" t="s">
        <v>415</v>
      </c>
      <c r="D120" s="48" t="s">
        <v>416</v>
      </c>
      <c r="E120" s="21" t="s">
        <v>417</v>
      </c>
      <c r="F120" s="53" t="s">
        <v>418</v>
      </c>
      <c r="G120" s="71">
        <v>6</v>
      </c>
      <c r="H120" s="72" t="s">
        <v>43</v>
      </c>
      <c r="I120" s="73">
        <f t="shared" si="4"/>
        <v>15</v>
      </c>
      <c r="J120" s="75"/>
      <c r="K120" s="210">
        <v>6</v>
      </c>
    </row>
    <row r="121" ht="20" customHeight="1" spans="1:11">
      <c r="A121" s="41"/>
      <c r="B121" s="43"/>
      <c r="C121" s="15" t="s">
        <v>419</v>
      </c>
      <c r="D121" s="48" t="s">
        <v>420</v>
      </c>
      <c r="E121" s="21" t="s">
        <v>421</v>
      </c>
      <c r="F121" s="53" t="s">
        <v>422</v>
      </c>
      <c r="G121" s="71">
        <v>15</v>
      </c>
      <c r="H121" s="72" t="s">
        <v>43</v>
      </c>
      <c r="I121" s="73">
        <f t="shared" si="4"/>
        <v>15</v>
      </c>
      <c r="J121" s="75"/>
      <c r="K121" s="210">
        <v>15</v>
      </c>
    </row>
    <row r="122" ht="26" customHeight="1" spans="1:11">
      <c r="A122" s="41"/>
      <c r="B122" s="43"/>
      <c r="C122" s="15" t="s">
        <v>423</v>
      </c>
      <c r="D122" s="48" t="s">
        <v>424</v>
      </c>
      <c r="E122" s="21" t="s">
        <v>425</v>
      </c>
      <c r="F122" s="53" t="s">
        <v>426</v>
      </c>
      <c r="G122" s="71">
        <v>15</v>
      </c>
      <c r="H122" s="72" t="s">
        <v>43</v>
      </c>
      <c r="I122" s="73">
        <f t="shared" si="4"/>
        <v>10</v>
      </c>
      <c r="J122" s="75"/>
      <c r="K122" s="210">
        <v>15</v>
      </c>
    </row>
    <row r="123" ht="20" customHeight="1" spans="1:11">
      <c r="A123" s="41"/>
      <c r="B123" s="43"/>
      <c r="C123" s="55" t="s">
        <v>427</v>
      </c>
      <c r="D123" s="48" t="s">
        <v>428</v>
      </c>
      <c r="E123" s="21" t="s">
        <v>429</v>
      </c>
      <c r="F123" s="53" t="s">
        <v>430</v>
      </c>
      <c r="G123" s="71">
        <v>10</v>
      </c>
      <c r="H123" s="72" t="s">
        <v>43</v>
      </c>
      <c r="I123" s="73">
        <f t="shared" si="4"/>
        <v>6</v>
      </c>
      <c r="J123" s="75"/>
      <c r="K123" s="210">
        <v>10</v>
      </c>
    </row>
    <row r="124" ht="20" customHeight="1" spans="1:11">
      <c r="A124" s="41"/>
      <c r="B124" s="43"/>
      <c r="C124" s="15"/>
      <c r="D124" s="48" t="s">
        <v>431</v>
      </c>
      <c r="E124" s="21" t="s">
        <v>432</v>
      </c>
      <c r="F124" s="53" t="s">
        <v>433</v>
      </c>
      <c r="G124" s="71">
        <v>6</v>
      </c>
      <c r="H124" s="72" t="s">
        <v>43</v>
      </c>
      <c r="I124" s="73">
        <f t="shared" si="4"/>
        <v>6</v>
      </c>
      <c r="J124" s="75"/>
      <c r="K124" s="210">
        <v>6</v>
      </c>
    </row>
    <row r="125" ht="20" customHeight="1" spans="1:11">
      <c r="A125" s="41"/>
      <c r="B125" s="43"/>
      <c r="C125" s="15"/>
      <c r="D125" s="48" t="s">
        <v>301</v>
      </c>
      <c r="E125" s="21" t="s">
        <v>434</v>
      </c>
      <c r="F125" s="53" t="s">
        <v>435</v>
      </c>
      <c r="G125" s="71">
        <v>6</v>
      </c>
      <c r="H125" s="72" t="s">
        <v>43</v>
      </c>
      <c r="I125" s="73">
        <f t="shared" si="4"/>
        <v>6</v>
      </c>
      <c r="J125" s="75"/>
      <c r="K125" s="210">
        <v>6</v>
      </c>
    </row>
    <row r="126" ht="29.75" customHeight="1" spans="1:11">
      <c r="A126" s="41"/>
      <c r="B126" s="43"/>
      <c r="C126" s="15" t="s">
        <v>85</v>
      </c>
      <c r="D126" s="48" t="s">
        <v>436</v>
      </c>
      <c r="E126" s="21" t="s">
        <v>437</v>
      </c>
      <c r="F126" s="53" t="s">
        <v>438</v>
      </c>
      <c r="G126" s="71">
        <v>6</v>
      </c>
      <c r="H126" s="72" t="s">
        <v>43</v>
      </c>
      <c r="I126" s="73">
        <f t="shared" si="4"/>
        <v>15</v>
      </c>
      <c r="J126" s="75"/>
      <c r="K126" s="210">
        <v>6</v>
      </c>
    </row>
    <row r="127" ht="33.4" customHeight="1" spans="1:11">
      <c r="A127" s="41"/>
      <c r="B127" s="43"/>
      <c r="C127" s="15" t="s">
        <v>439</v>
      </c>
      <c r="D127" s="48" t="s">
        <v>440</v>
      </c>
      <c r="E127" s="21" t="s">
        <v>441</v>
      </c>
      <c r="F127" s="53" t="s">
        <v>442</v>
      </c>
      <c r="G127" s="71">
        <v>15</v>
      </c>
      <c r="H127" s="72" t="s">
        <v>43</v>
      </c>
      <c r="I127" s="73">
        <f t="shared" si="4"/>
        <v>30</v>
      </c>
      <c r="J127" s="75"/>
      <c r="K127" s="210">
        <v>15</v>
      </c>
    </row>
    <row r="128" ht="20" customHeight="1" spans="1:11">
      <c r="A128" s="41"/>
      <c r="B128" s="44" t="s">
        <v>443</v>
      </c>
      <c r="C128" s="15" t="s">
        <v>444</v>
      </c>
      <c r="D128" s="48" t="s">
        <v>444</v>
      </c>
      <c r="E128" s="21" t="s">
        <v>445</v>
      </c>
      <c r="F128" s="53" t="s">
        <v>446</v>
      </c>
      <c r="G128" s="71">
        <v>30</v>
      </c>
      <c r="H128" s="72" t="s">
        <v>43</v>
      </c>
      <c r="I128" s="73">
        <f t="shared" ref="I128:I191" si="5">IF(H128&lt;&gt;0,G128,0)</f>
        <v>30</v>
      </c>
      <c r="J128" s="74">
        <f>SUM(I128:I130)</f>
        <v>53</v>
      </c>
      <c r="K128" s="215">
        <v>30</v>
      </c>
    </row>
    <row r="129" ht="20" customHeight="1" spans="1:11">
      <c r="A129" s="41"/>
      <c r="B129" s="43"/>
      <c r="C129" s="15" t="s">
        <v>447</v>
      </c>
      <c r="D129" s="48" t="s">
        <v>447</v>
      </c>
      <c r="E129" s="21" t="s">
        <v>448</v>
      </c>
      <c r="F129" s="53" t="s">
        <v>449</v>
      </c>
      <c r="G129" s="71">
        <v>20</v>
      </c>
      <c r="H129" s="72" t="s">
        <v>43</v>
      </c>
      <c r="I129" s="73">
        <f t="shared" si="5"/>
        <v>20</v>
      </c>
      <c r="J129" s="75"/>
      <c r="K129" s="215">
        <v>20</v>
      </c>
    </row>
    <row r="130" ht="20" customHeight="1" spans="1:11">
      <c r="A130" s="41"/>
      <c r="B130" s="45"/>
      <c r="C130" s="15" t="s">
        <v>450</v>
      </c>
      <c r="D130" s="48" t="s">
        <v>450</v>
      </c>
      <c r="E130" s="21" t="s">
        <v>451</v>
      </c>
      <c r="F130" s="53" t="s">
        <v>452</v>
      </c>
      <c r="G130" s="71">
        <v>3</v>
      </c>
      <c r="H130" s="72" t="s">
        <v>43</v>
      </c>
      <c r="I130" s="73">
        <f t="shared" si="5"/>
        <v>3</v>
      </c>
      <c r="J130" s="75"/>
      <c r="K130" s="215">
        <v>3</v>
      </c>
    </row>
    <row r="131" ht="20" customHeight="1" spans="1:11">
      <c r="A131" s="41"/>
      <c r="B131" s="55" t="s">
        <v>453</v>
      </c>
      <c r="C131" s="15" t="s">
        <v>454</v>
      </c>
      <c r="D131" s="48" t="s">
        <v>454</v>
      </c>
      <c r="E131" s="21" t="s">
        <v>455</v>
      </c>
      <c r="F131" s="53" t="s">
        <v>456</v>
      </c>
      <c r="G131" s="71">
        <v>6</v>
      </c>
      <c r="H131" s="72" t="s">
        <v>43</v>
      </c>
      <c r="I131" s="73">
        <f t="shared" si="5"/>
        <v>6</v>
      </c>
      <c r="J131" s="74">
        <f>SUM(I131:I144)</f>
        <v>98</v>
      </c>
      <c r="K131" s="210" t="s">
        <v>457</v>
      </c>
    </row>
    <row r="132" ht="20" customHeight="1" spans="1:11">
      <c r="A132" s="41"/>
      <c r="B132" s="15"/>
      <c r="C132" s="15" t="s">
        <v>458</v>
      </c>
      <c r="D132" s="48" t="s">
        <v>458</v>
      </c>
      <c r="E132" s="21" t="s">
        <v>459</v>
      </c>
      <c r="F132" s="53" t="s">
        <v>460</v>
      </c>
      <c r="G132" s="71">
        <v>12</v>
      </c>
      <c r="H132" s="72" t="s">
        <v>43</v>
      </c>
      <c r="I132" s="73">
        <f t="shared" si="5"/>
        <v>12</v>
      </c>
      <c r="J132" s="75"/>
      <c r="K132" s="210" t="s">
        <v>461</v>
      </c>
    </row>
    <row r="133" ht="20" customHeight="1" spans="1:11">
      <c r="A133" s="41"/>
      <c r="B133" s="15"/>
      <c r="C133" s="15" t="s">
        <v>462</v>
      </c>
      <c r="D133" s="48" t="s">
        <v>462</v>
      </c>
      <c r="E133" s="21" t="s">
        <v>463</v>
      </c>
      <c r="F133" s="53" t="s">
        <v>464</v>
      </c>
      <c r="G133" s="71">
        <v>6</v>
      </c>
      <c r="H133" s="72" t="s">
        <v>43</v>
      </c>
      <c r="I133" s="73">
        <f t="shared" si="5"/>
        <v>6</v>
      </c>
      <c r="J133" s="75"/>
      <c r="K133" s="210" t="s">
        <v>465</v>
      </c>
    </row>
    <row r="134" ht="20" customHeight="1" spans="1:11">
      <c r="A134" s="41"/>
      <c r="B134" s="15"/>
      <c r="C134" s="15" t="s">
        <v>466</v>
      </c>
      <c r="D134" s="48" t="s">
        <v>466</v>
      </c>
      <c r="E134" s="21" t="s">
        <v>467</v>
      </c>
      <c r="F134" s="53" t="s">
        <v>468</v>
      </c>
      <c r="G134" s="71">
        <v>10</v>
      </c>
      <c r="H134" s="72" t="s">
        <v>43</v>
      </c>
      <c r="I134" s="73">
        <f t="shared" si="5"/>
        <v>10</v>
      </c>
      <c r="J134" s="75"/>
      <c r="K134" s="210" t="s">
        <v>469</v>
      </c>
    </row>
    <row r="135" ht="33.5" customHeight="1" spans="1:11">
      <c r="A135" s="41"/>
      <c r="B135" s="15"/>
      <c r="C135" s="15" t="s">
        <v>470</v>
      </c>
      <c r="D135" s="48" t="s">
        <v>470</v>
      </c>
      <c r="E135" s="21" t="s">
        <v>471</v>
      </c>
      <c r="F135" s="53" t="s">
        <v>472</v>
      </c>
      <c r="G135" s="71">
        <v>9</v>
      </c>
      <c r="H135" s="72" t="s">
        <v>43</v>
      </c>
      <c r="I135" s="73">
        <f t="shared" si="5"/>
        <v>9</v>
      </c>
      <c r="J135" s="75"/>
      <c r="K135" s="210" t="s">
        <v>473</v>
      </c>
    </row>
    <row r="136" ht="20" customHeight="1" spans="1:11">
      <c r="A136" s="41"/>
      <c r="B136" s="15"/>
      <c r="C136" s="15" t="s">
        <v>474</v>
      </c>
      <c r="D136" s="48" t="s">
        <v>474</v>
      </c>
      <c r="E136" s="21" t="s">
        <v>475</v>
      </c>
      <c r="F136" s="53" t="s">
        <v>476</v>
      </c>
      <c r="G136" s="71">
        <v>6</v>
      </c>
      <c r="H136" s="72" t="s">
        <v>43</v>
      </c>
      <c r="I136" s="73">
        <f t="shared" si="5"/>
        <v>6</v>
      </c>
      <c r="J136" s="75"/>
      <c r="K136" s="210" t="s">
        <v>457</v>
      </c>
    </row>
    <row r="137" ht="20" customHeight="1" spans="1:11">
      <c r="A137" s="41"/>
      <c r="B137" s="15"/>
      <c r="C137" s="15" t="s">
        <v>477</v>
      </c>
      <c r="D137" s="48" t="s">
        <v>477</v>
      </c>
      <c r="E137" s="21" t="s">
        <v>478</v>
      </c>
      <c r="F137" s="53" t="s">
        <v>479</v>
      </c>
      <c r="G137" s="71">
        <v>6</v>
      </c>
      <c r="H137" s="72" t="s">
        <v>43</v>
      </c>
      <c r="I137" s="73">
        <f t="shared" si="5"/>
        <v>6</v>
      </c>
      <c r="J137" s="75"/>
      <c r="K137" s="210" t="s">
        <v>457</v>
      </c>
    </row>
    <row r="138" ht="20" customHeight="1" spans="1:11">
      <c r="A138" s="41"/>
      <c r="B138" s="15"/>
      <c r="C138" s="15" t="s">
        <v>480</v>
      </c>
      <c r="D138" s="48" t="s">
        <v>481</v>
      </c>
      <c r="E138" s="21" t="s">
        <v>482</v>
      </c>
      <c r="F138" s="53" t="s">
        <v>483</v>
      </c>
      <c r="G138" s="71">
        <v>6</v>
      </c>
      <c r="H138" s="72" t="s">
        <v>43</v>
      </c>
      <c r="I138" s="73">
        <f t="shared" si="5"/>
        <v>6</v>
      </c>
      <c r="J138" s="75"/>
      <c r="K138" s="210" t="s">
        <v>457</v>
      </c>
    </row>
    <row r="139" ht="20" customHeight="1" spans="1:11">
      <c r="A139" s="41"/>
      <c r="B139" s="15"/>
      <c r="C139" s="15" t="s">
        <v>484</v>
      </c>
      <c r="D139" s="48" t="s">
        <v>484</v>
      </c>
      <c r="E139" s="21" t="s">
        <v>485</v>
      </c>
      <c r="F139" s="53" t="s">
        <v>476</v>
      </c>
      <c r="G139" s="71">
        <v>6</v>
      </c>
      <c r="H139" s="72" t="s">
        <v>43</v>
      </c>
      <c r="I139" s="73">
        <f t="shared" si="5"/>
        <v>6</v>
      </c>
      <c r="J139" s="75"/>
      <c r="K139" s="210" t="s">
        <v>457</v>
      </c>
    </row>
    <row r="140" ht="20" customHeight="1" spans="1:11">
      <c r="A140" s="41"/>
      <c r="B140" s="15"/>
      <c r="C140" s="15" t="s">
        <v>486</v>
      </c>
      <c r="D140" s="48" t="s">
        <v>486</v>
      </c>
      <c r="E140" s="21" t="s">
        <v>487</v>
      </c>
      <c r="F140" s="53" t="s">
        <v>476</v>
      </c>
      <c r="G140" s="71">
        <v>6</v>
      </c>
      <c r="H140" s="72" t="s">
        <v>43</v>
      </c>
      <c r="I140" s="73">
        <f t="shared" si="5"/>
        <v>6</v>
      </c>
      <c r="J140" s="75"/>
      <c r="K140" s="210" t="s">
        <v>457</v>
      </c>
    </row>
    <row r="141" ht="20" customHeight="1" spans="1:11">
      <c r="A141" s="41"/>
      <c r="B141" s="15"/>
      <c r="C141" s="15" t="s">
        <v>488</v>
      </c>
      <c r="D141" s="48" t="s">
        <v>488</v>
      </c>
      <c r="E141" s="21" t="s">
        <v>489</v>
      </c>
      <c r="F141" s="53" t="s">
        <v>476</v>
      </c>
      <c r="G141" s="71">
        <v>6</v>
      </c>
      <c r="H141" s="72" t="s">
        <v>43</v>
      </c>
      <c r="I141" s="73">
        <f t="shared" si="5"/>
        <v>6</v>
      </c>
      <c r="J141" s="75"/>
      <c r="K141" s="210" t="s">
        <v>457</v>
      </c>
    </row>
    <row r="142" ht="20" customHeight="1" spans="1:11">
      <c r="A142" s="41"/>
      <c r="B142" s="15"/>
      <c r="C142" s="15" t="s">
        <v>490</v>
      </c>
      <c r="D142" s="48" t="s">
        <v>490</v>
      </c>
      <c r="E142" s="21" t="s">
        <v>491</v>
      </c>
      <c r="F142" s="53" t="s">
        <v>492</v>
      </c>
      <c r="G142" s="71">
        <v>8</v>
      </c>
      <c r="H142" s="72" t="s">
        <v>43</v>
      </c>
      <c r="I142" s="73">
        <f t="shared" si="5"/>
        <v>8</v>
      </c>
      <c r="J142" s="75"/>
      <c r="K142" s="210" t="s">
        <v>357</v>
      </c>
    </row>
    <row r="143" ht="20" customHeight="1" spans="1:11">
      <c r="A143" s="41"/>
      <c r="B143" s="15"/>
      <c r="C143" s="15" t="s">
        <v>493</v>
      </c>
      <c r="D143" s="48" t="s">
        <v>493</v>
      </c>
      <c r="E143" s="21" t="s">
        <v>494</v>
      </c>
      <c r="F143" s="53" t="s">
        <v>495</v>
      </c>
      <c r="G143" s="71">
        <v>8</v>
      </c>
      <c r="H143" s="72" t="s">
        <v>43</v>
      </c>
      <c r="I143" s="73">
        <f t="shared" si="5"/>
        <v>8</v>
      </c>
      <c r="J143" s="75"/>
      <c r="K143" s="210" t="s">
        <v>357</v>
      </c>
    </row>
    <row r="144" ht="20" customHeight="1" spans="1:11">
      <c r="A144" s="41"/>
      <c r="B144" s="15"/>
      <c r="C144" s="15" t="s">
        <v>496</v>
      </c>
      <c r="D144" s="48" t="s">
        <v>497</v>
      </c>
      <c r="E144" s="21" t="s">
        <v>498</v>
      </c>
      <c r="F144" s="53" t="s">
        <v>499</v>
      </c>
      <c r="G144" s="71">
        <v>3</v>
      </c>
      <c r="H144" s="72" t="s">
        <v>43</v>
      </c>
      <c r="I144" s="73">
        <f t="shared" si="5"/>
        <v>3</v>
      </c>
      <c r="J144" s="75"/>
      <c r="K144" s="210" t="s">
        <v>202</v>
      </c>
    </row>
    <row r="145" ht="20" customHeight="1" spans="1:11">
      <c r="A145" s="41"/>
      <c r="B145" s="55" t="s">
        <v>500</v>
      </c>
      <c r="C145" s="15" t="s">
        <v>501</v>
      </c>
      <c r="D145" s="48" t="s">
        <v>502</v>
      </c>
      <c r="E145" s="21" t="s">
        <v>503</v>
      </c>
      <c r="F145" s="53" t="s">
        <v>504</v>
      </c>
      <c r="G145" s="71">
        <v>5</v>
      </c>
      <c r="H145" s="72" t="s">
        <v>43</v>
      </c>
      <c r="I145" s="73">
        <f t="shared" si="5"/>
        <v>5</v>
      </c>
      <c r="J145" s="74">
        <f>SUM(I145:I146)</f>
        <v>10</v>
      </c>
      <c r="K145" s="215">
        <v>5</v>
      </c>
    </row>
    <row r="146" ht="20" customHeight="1" spans="1:11">
      <c r="A146" s="41"/>
      <c r="B146" s="15"/>
      <c r="C146" s="15" t="s">
        <v>505</v>
      </c>
      <c r="D146" s="48" t="s">
        <v>506</v>
      </c>
      <c r="E146" s="21" t="s">
        <v>507</v>
      </c>
      <c r="F146" s="53" t="s">
        <v>508</v>
      </c>
      <c r="G146" s="71">
        <v>5</v>
      </c>
      <c r="H146" s="72" t="s">
        <v>43</v>
      </c>
      <c r="I146" s="73">
        <f t="shared" si="5"/>
        <v>5</v>
      </c>
      <c r="J146" s="75"/>
      <c r="K146" s="215">
        <v>5</v>
      </c>
    </row>
    <row r="147" ht="20" customHeight="1" spans="1:11">
      <c r="A147" s="41"/>
      <c r="B147" s="55" t="s">
        <v>509</v>
      </c>
      <c r="C147" s="16" t="s">
        <v>380</v>
      </c>
      <c r="D147" s="48" t="s">
        <v>510</v>
      </c>
      <c r="E147" s="21" t="s">
        <v>511</v>
      </c>
      <c r="F147" s="53"/>
      <c r="G147" s="71">
        <v>3</v>
      </c>
      <c r="H147" s="72" t="s">
        <v>43</v>
      </c>
      <c r="I147" s="73">
        <f t="shared" si="5"/>
        <v>3</v>
      </c>
      <c r="J147" s="74">
        <f>SUM(I147:I157)</f>
        <v>59</v>
      </c>
      <c r="K147" s="215">
        <v>3</v>
      </c>
    </row>
    <row r="148" ht="20" customHeight="1" spans="1:11">
      <c r="A148" s="41"/>
      <c r="B148" s="15"/>
      <c r="C148" s="16" t="s">
        <v>512</v>
      </c>
      <c r="D148" s="48" t="s">
        <v>513</v>
      </c>
      <c r="E148" s="21" t="s">
        <v>514</v>
      </c>
      <c r="F148" s="53"/>
      <c r="G148" s="71">
        <v>7</v>
      </c>
      <c r="H148" s="72" t="s">
        <v>43</v>
      </c>
      <c r="I148" s="73">
        <f t="shared" si="5"/>
        <v>7</v>
      </c>
      <c r="J148" s="75"/>
      <c r="K148" s="215">
        <v>7</v>
      </c>
    </row>
    <row r="149" ht="20" customHeight="1" spans="1:11">
      <c r="A149" s="41"/>
      <c r="B149" s="15"/>
      <c r="C149" s="15" t="s">
        <v>515</v>
      </c>
      <c r="D149" s="48" t="s">
        <v>516</v>
      </c>
      <c r="E149" s="21" t="s">
        <v>517</v>
      </c>
      <c r="F149" s="53"/>
      <c r="G149" s="71">
        <v>5</v>
      </c>
      <c r="H149" s="72" t="s">
        <v>43</v>
      </c>
      <c r="I149" s="73">
        <f t="shared" si="5"/>
        <v>5</v>
      </c>
      <c r="J149" s="75"/>
      <c r="K149" s="215">
        <v>5</v>
      </c>
    </row>
    <row r="150" ht="20" customHeight="1" spans="1:11">
      <c r="A150" s="41"/>
      <c r="B150" s="15"/>
      <c r="C150" s="15" t="s">
        <v>518</v>
      </c>
      <c r="D150" s="48" t="s">
        <v>516</v>
      </c>
      <c r="E150" s="21" t="s">
        <v>519</v>
      </c>
      <c r="F150" s="53"/>
      <c r="G150" s="71">
        <v>8</v>
      </c>
      <c r="H150" s="72" t="s">
        <v>43</v>
      </c>
      <c r="I150" s="73">
        <f t="shared" si="5"/>
        <v>8</v>
      </c>
      <c r="J150" s="75"/>
      <c r="K150" s="215">
        <v>8</v>
      </c>
    </row>
    <row r="151" ht="20" customHeight="1" spans="1:11">
      <c r="A151" s="41"/>
      <c r="B151" s="15"/>
      <c r="C151" s="15" t="s">
        <v>520</v>
      </c>
      <c r="D151" s="48" t="s">
        <v>521</v>
      </c>
      <c r="E151" s="21" t="s">
        <v>522</v>
      </c>
      <c r="F151" s="53"/>
      <c r="G151" s="71">
        <v>8</v>
      </c>
      <c r="H151" s="72" t="s">
        <v>43</v>
      </c>
      <c r="I151" s="73">
        <f t="shared" si="5"/>
        <v>8</v>
      </c>
      <c r="J151" s="75"/>
      <c r="K151" s="215">
        <v>8</v>
      </c>
    </row>
    <row r="152" ht="20" customHeight="1" spans="1:11">
      <c r="A152" s="41"/>
      <c r="B152" s="15"/>
      <c r="C152" s="15" t="s">
        <v>523</v>
      </c>
      <c r="D152" s="48" t="s">
        <v>524</v>
      </c>
      <c r="E152" s="21" t="s">
        <v>525</v>
      </c>
      <c r="F152" s="53" t="s">
        <v>526</v>
      </c>
      <c r="G152" s="71">
        <v>3</v>
      </c>
      <c r="H152" s="72" t="s">
        <v>43</v>
      </c>
      <c r="I152" s="73">
        <f t="shared" si="5"/>
        <v>3</v>
      </c>
      <c r="J152" s="75"/>
      <c r="K152" s="215">
        <v>3</v>
      </c>
    </row>
    <row r="153" ht="20" customHeight="1" spans="1:11">
      <c r="A153" s="41"/>
      <c r="B153" s="15"/>
      <c r="C153" s="15" t="s">
        <v>527</v>
      </c>
      <c r="D153" s="48" t="s">
        <v>528</v>
      </c>
      <c r="E153" s="21" t="s">
        <v>529</v>
      </c>
      <c r="F153" s="53"/>
      <c r="G153" s="71">
        <v>8</v>
      </c>
      <c r="H153" s="72" t="s">
        <v>43</v>
      </c>
      <c r="I153" s="73">
        <f t="shared" si="5"/>
        <v>8</v>
      </c>
      <c r="J153" s="75"/>
      <c r="K153" s="215">
        <v>8</v>
      </c>
    </row>
    <row r="154" ht="20" customHeight="1" spans="1:11">
      <c r="A154" s="41"/>
      <c r="B154" s="15"/>
      <c r="C154" s="15" t="s">
        <v>530</v>
      </c>
      <c r="D154" s="48" t="s">
        <v>531</v>
      </c>
      <c r="E154" s="21" t="s">
        <v>532</v>
      </c>
      <c r="F154" s="53"/>
      <c r="G154" s="71">
        <v>4</v>
      </c>
      <c r="H154" s="72" t="s">
        <v>43</v>
      </c>
      <c r="I154" s="73">
        <f t="shared" si="5"/>
        <v>4</v>
      </c>
      <c r="J154" s="75"/>
      <c r="K154" s="215">
        <v>4</v>
      </c>
    </row>
    <row r="155" ht="20" customHeight="1" spans="1:11">
      <c r="A155" s="41"/>
      <c r="B155" s="15"/>
      <c r="C155" s="15" t="s">
        <v>533</v>
      </c>
      <c r="D155" s="48" t="s">
        <v>534</v>
      </c>
      <c r="E155" s="21" t="s">
        <v>535</v>
      </c>
      <c r="F155" s="53"/>
      <c r="G155" s="71">
        <v>4</v>
      </c>
      <c r="H155" s="72" t="s">
        <v>43</v>
      </c>
      <c r="I155" s="73">
        <f t="shared" si="5"/>
        <v>4</v>
      </c>
      <c r="J155" s="75"/>
      <c r="K155" s="215">
        <v>4</v>
      </c>
    </row>
    <row r="156" ht="20" customHeight="1" spans="1:11">
      <c r="A156" s="41"/>
      <c r="B156" s="15"/>
      <c r="C156" s="15" t="s">
        <v>536</v>
      </c>
      <c r="D156" s="48" t="s">
        <v>537</v>
      </c>
      <c r="E156" s="21" t="s">
        <v>538</v>
      </c>
      <c r="F156" s="53"/>
      <c r="G156" s="71">
        <v>4</v>
      </c>
      <c r="H156" s="72" t="s">
        <v>43</v>
      </c>
      <c r="I156" s="73">
        <f t="shared" si="5"/>
        <v>4</v>
      </c>
      <c r="J156" s="75"/>
      <c r="K156" s="215">
        <v>4</v>
      </c>
    </row>
    <row r="157" ht="20" customHeight="1" spans="1:11">
      <c r="A157" s="41"/>
      <c r="B157" s="15"/>
      <c r="C157" s="15" t="s">
        <v>539</v>
      </c>
      <c r="D157" s="48" t="s">
        <v>540</v>
      </c>
      <c r="E157" s="21" t="s">
        <v>541</v>
      </c>
      <c r="F157" s="53"/>
      <c r="G157" s="71">
        <v>5</v>
      </c>
      <c r="H157" s="72" t="s">
        <v>43</v>
      </c>
      <c r="I157" s="73">
        <f t="shared" si="5"/>
        <v>5</v>
      </c>
      <c r="J157" s="75"/>
      <c r="K157" s="215">
        <v>5</v>
      </c>
    </row>
    <row r="158" ht="20" customHeight="1" spans="1:11">
      <c r="A158" s="41"/>
      <c r="B158" s="55" t="s">
        <v>542</v>
      </c>
      <c r="C158" s="15" t="s">
        <v>543</v>
      </c>
      <c r="D158" s="48" t="s">
        <v>544</v>
      </c>
      <c r="E158" s="21" t="s">
        <v>545</v>
      </c>
      <c r="F158" s="53"/>
      <c r="G158" s="71">
        <v>7</v>
      </c>
      <c r="H158" s="72" t="s">
        <v>43</v>
      </c>
      <c r="I158" s="73">
        <f t="shared" si="5"/>
        <v>7</v>
      </c>
      <c r="J158" s="74">
        <f>SUM(I158:I164)</f>
        <v>34</v>
      </c>
      <c r="K158" s="210">
        <v>7</v>
      </c>
    </row>
    <row r="159" ht="20" customHeight="1" spans="1:11">
      <c r="A159" s="41"/>
      <c r="B159" s="15"/>
      <c r="C159" s="15" t="s">
        <v>546</v>
      </c>
      <c r="D159" s="48" t="s">
        <v>547</v>
      </c>
      <c r="E159" s="21" t="s">
        <v>548</v>
      </c>
      <c r="F159" s="53"/>
      <c r="G159" s="71">
        <v>5</v>
      </c>
      <c r="H159" s="72" t="s">
        <v>43</v>
      </c>
      <c r="I159" s="73">
        <f t="shared" si="5"/>
        <v>5</v>
      </c>
      <c r="J159" s="75"/>
      <c r="K159" s="210">
        <v>5</v>
      </c>
    </row>
    <row r="160" ht="20" customHeight="1" spans="1:11">
      <c r="A160" s="41"/>
      <c r="B160" s="15"/>
      <c r="C160" s="15" t="s">
        <v>549</v>
      </c>
      <c r="D160" s="48" t="s">
        <v>550</v>
      </c>
      <c r="E160" s="21" t="s">
        <v>551</v>
      </c>
      <c r="F160" s="53"/>
      <c r="G160" s="71">
        <v>7</v>
      </c>
      <c r="H160" s="72" t="s">
        <v>43</v>
      </c>
      <c r="I160" s="73">
        <f t="shared" si="5"/>
        <v>7</v>
      </c>
      <c r="J160" s="75"/>
      <c r="K160" s="210">
        <v>7</v>
      </c>
    </row>
    <row r="161" ht="20" customHeight="1" spans="1:11">
      <c r="A161" s="41"/>
      <c r="B161" s="15"/>
      <c r="C161" s="15" t="s">
        <v>552</v>
      </c>
      <c r="D161" s="48" t="s">
        <v>553</v>
      </c>
      <c r="E161" s="21" t="s">
        <v>554</v>
      </c>
      <c r="F161" s="53" t="s">
        <v>555</v>
      </c>
      <c r="G161" s="71">
        <v>3</v>
      </c>
      <c r="H161" s="72" t="s">
        <v>43</v>
      </c>
      <c r="I161" s="73">
        <f t="shared" si="5"/>
        <v>3</v>
      </c>
      <c r="J161" s="75"/>
      <c r="K161" s="210">
        <v>3</v>
      </c>
    </row>
    <row r="162" ht="20" customHeight="1" spans="1:11">
      <c r="A162" s="41"/>
      <c r="B162" s="15"/>
      <c r="C162" s="15" t="s">
        <v>556</v>
      </c>
      <c r="D162" s="48" t="s">
        <v>557</v>
      </c>
      <c r="E162" s="21" t="s">
        <v>558</v>
      </c>
      <c r="F162" s="53"/>
      <c r="G162" s="71">
        <v>7</v>
      </c>
      <c r="H162" s="72" t="s">
        <v>43</v>
      </c>
      <c r="I162" s="73">
        <f t="shared" si="5"/>
        <v>7</v>
      </c>
      <c r="J162" s="75"/>
      <c r="K162" s="210">
        <v>7</v>
      </c>
    </row>
    <row r="163" ht="53.5" customHeight="1" spans="1:11">
      <c r="A163" s="41"/>
      <c r="B163" s="15"/>
      <c r="C163" s="15" t="s">
        <v>559</v>
      </c>
      <c r="D163" s="48" t="s">
        <v>560</v>
      </c>
      <c r="E163" s="21" t="s">
        <v>561</v>
      </c>
      <c r="F163" s="53"/>
      <c r="G163" s="71">
        <v>5</v>
      </c>
      <c r="H163" s="72" t="s">
        <v>43</v>
      </c>
      <c r="I163" s="73">
        <f t="shared" si="5"/>
        <v>5</v>
      </c>
      <c r="J163" s="75"/>
      <c r="K163" s="215" t="s">
        <v>562</v>
      </c>
    </row>
    <row r="164" ht="20" customHeight="1" spans="1:11">
      <c r="A164" s="41"/>
      <c r="B164" s="15"/>
      <c r="C164" s="15" t="s">
        <v>563</v>
      </c>
      <c r="D164" s="94"/>
      <c r="E164" s="95"/>
      <c r="F164" s="53" t="s">
        <v>564</v>
      </c>
      <c r="G164" s="71">
        <v>0</v>
      </c>
      <c r="H164" s="72" t="s">
        <v>43</v>
      </c>
      <c r="I164" s="73">
        <f t="shared" si="5"/>
        <v>0</v>
      </c>
      <c r="J164" s="75"/>
      <c r="K164" s="215">
        <v>0</v>
      </c>
    </row>
    <row r="165" ht="20" customHeight="1" spans="1:11">
      <c r="A165" s="41"/>
      <c r="B165" s="55" t="s">
        <v>565</v>
      </c>
      <c r="C165" s="15" t="s">
        <v>566</v>
      </c>
      <c r="D165" s="48" t="s">
        <v>567</v>
      </c>
      <c r="E165" s="21" t="s">
        <v>568</v>
      </c>
      <c r="F165" s="53" t="s">
        <v>569</v>
      </c>
      <c r="G165" s="71">
        <v>3</v>
      </c>
      <c r="H165" s="72" t="s">
        <v>43</v>
      </c>
      <c r="I165" s="73">
        <f t="shared" si="5"/>
        <v>3</v>
      </c>
      <c r="J165" s="74">
        <f>SUM(I165:I167)</f>
        <v>7</v>
      </c>
      <c r="K165" s="215"/>
    </row>
    <row r="166" ht="20" customHeight="1" spans="1:11">
      <c r="A166" s="41"/>
      <c r="B166" s="15"/>
      <c r="C166" s="15" t="s">
        <v>570</v>
      </c>
      <c r="D166" s="48" t="s">
        <v>571</v>
      </c>
      <c r="E166" s="21" t="s">
        <v>572</v>
      </c>
      <c r="F166" s="53" t="s">
        <v>573</v>
      </c>
      <c r="G166" s="71">
        <v>3</v>
      </c>
      <c r="H166" s="72" t="s">
        <v>43</v>
      </c>
      <c r="I166" s="73">
        <f t="shared" si="5"/>
        <v>3</v>
      </c>
      <c r="J166" s="75"/>
      <c r="K166" s="215"/>
    </row>
    <row r="167" ht="20" customHeight="1" spans="1:11">
      <c r="A167" s="41"/>
      <c r="B167" s="15"/>
      <c r="C167" s="15" t="s">
        <v>574</v>
      </c>
      <c r="D167" s="48" t="s">
        <v>575</v>
      </c>
      <c r="E167" s="21" t="s">
        <v>576</v>
      </c>
      <c r="F167" s="53"/>
      <c r="G167" s="71">
        <v>1</v>
      </c>
      <c r="H167" s="72" t="s">
        <v>43</v>
      </c>
      <c r="I167" s="73">
        <f t="shared" si="5"/>
        <v>1</v>
      </c>
      <c r="J167" s="75"/>
      <c r="K167" s="215"/>
    </row>
    <row r="168" ht="43.5" customHeight="1" spans="1:11">
      <c r="A168" s="41"/>
      <c r="B168" s="44" t="s">
        <v>577</v>
      </c>
      <c r="C168" s="44" t="s">
        <v>578</v>
      </c>
      <c r="D168" s="48" t="s">
        <v>314</v>
      </c>
      <c r="E168" s="21" t="s">
        <v>579</v>
      </c>
      <c r="F168" s="53" t="s">
        <v>580</v>
      </c>
      <c r="G168" s="71">
        <v>3</v>
      </c>
      <c r="H168" s="72" t="s">
        <v>43</v>
      </c>
      <c r="I168" s="73">
        <f t="shared" si="5"/>
        <v>3</v>
      </c>
      <c r="J168" s="74">
        <f>SUM(I168:I170)</f>
        <v>5</v>
      </c>
      <c r="K168" s="215" t="s">
        <v>581</v>
      </c>
    </row>
    <row r="169" ht="34.25" customHeight="1" spans="1:11">
      <c r="A169" s="41"/>
      <c r="B169" s="43"/>
      <c r="C169" s="43"/>
      <c r="D169" s="48" t="s">
        <v>582</v>
      </c>
      <c r="E169" s="21" t="s">
        <v>583</v>
      </c>
      <c r="F169" s="53"/>
      <c r="G169" s="71">
        <v>1</v>
      </c>
      <c r="H169" s="72" t="s">
        <v>43</v>
      </c>
      <c r="I169" s="73">
        <f t="shared" si="5"/>
        <v>1</v>
      </c>
      <c r="J169" s="75"/>
      <c r="K169" s="215" t="s">
        <v>584</v>
      </c>
    </row>
    <row r="170" ht="27.5" customHeight="1" spans="1:11">
      <c r="A170" s="41"/>
      <c r="B170" s="43"/>
      <c r="C170" s="43"/>
      <c r="D170" s="48" t="s">
        <v>585</v>
      </c>
      <c r="E170" s="21" t="s">
        <v>586</v>
      </c>
      <c r="F170" s="53"/>
      <c r="G170" s="71">
        <v>1</v>
      </c>
      <c r="H170" s="72" t="s">
        <v>43</v>
      </c>
      <c r="I170" s="73">
        <f t="shared" si="5"/>
        <v>1</v>
      </c>
      <c r="J170" s="75"/>
      <c r="K170" s="215" t="s">
        <v>584</v>
      </c>
    </row>
    <row r="171" ht="20" customHeight="1" spans="1:11">
      <c r="A171" s="41"/>
      <c r="B171" s="96" t="s">
        <v>587</v>
      </c>
      <c r="C171" s="96" t="s">
        <v>587</v>
      </c>
      <c r="D171" s="48" t="s">
        <v>588</v>
      </c>
      <c r="E171" s="56" t="s">
        <v>589</v>
      </c>
      <c r="F171" s="53"/>
      <c r="G171" s="71">
        <v>10</v>
      </c>
      <c r="H171" s="72" t="s">
        <v>43</v>
      </c>
      <c r="I171" s="73">
        <f t="shared" si="5"/>
        <v>10</v>
      </c>
      <c r="J171" s="75">
        <f>SUM(I171:I171)</f>
        <v>10</v>
      </c>
      <c r="K171" s="215" t="s">
        <v>590</v>
      </c>
    </row>
    <row r="172" ht="20" customHeight="1" spans="1:11">
      <c r="A172" s="41"/>
      <c r="B172" s="44" t="s">
        <v>591</v>
      </c>
      <c r="C172" s="44" t="s">
        <v>592</v>
      </c>
      <c r="D172" s="48" t="s">
        <v>593</v>
      </c>
      <c r="E172" s="21" t="s">
        <v>594</v>
      </c>
      <c r="F172" s="53" t="s">
        <v>595</v>
      </c>
      <c r="G172" s="71">
        <v>1</v>
      </c>
      <c r="H172" s="72" t="s">
        <v>43</v>
      </c>
      <c r="I172" s="73">
        <f t="shared" si="5"/>
        <v>1</v>
      </c>
      <c r="J172" s="74">
        <f>SUM(I172:I176)</f>
        <v>10</v>
      </c>
      <c r="K172" s="215"/>
    </row>
    <row r="173" ht="20" customHeight="1" spans="1:11">
      <c r="A173" s="41"/>
      <c r="B173" s="43"/>
      <c r="C173" s="45"/>
      <c r="D173" s="48" t="s">
        <v>596</v>
      </c>
      <c r="E173" s="21" t="s">
        <v>597</v>
      </c>
      <c r="F173" s="53" t="s">
        <v>598</v>
      </c>
      <c r="G173" s="71">
        <v>3</v>
      </c>
      <c r="H173" s="72" t="s">
        <v>43</v>
      </c>
      <c r="I173" s="73">
        <f t="shared" si="5"/>
        <v>3</v>
      </c>
      <c r="J173" s="75"/>
      <c r="K173" s="215"/>
    </row>
    <row r="174" ht="20" customHeight="1" spans="1:11">
      <c r="A174" s="41"/>
      <c r="B174" s="43"/>
      <c r="C174" s="44" t="s">
        <v>599</v>
      </c>
      <c r="D174" s="48" t="s">
        <v>600</v>
      </c>
      <c r="E174" s="21" t="s">
        <v>601</v>
      </c>
      <c r="F174" s="53"/>
      <c r="G174" s="71">
        <v>1</v>
      </c>
      <c r="H174" s="72" t="s">
        <v>43</v>
      </c>
      <c r="I174" s="73">
        <f t="shared" si="5"/>
        <v>1</v>
      </c>
      <c r="J174" s="75"/>
      <c r="K174" s="215"/>
    </row>
    <row r="175" ht="20" customHeight="1" spans="1:11">
      <c r="A175" s="41"/>
      <c r="B175" s="43"/>
      <c r="C175" s="43"/>
      <c r="D175" s="48" t="s">
        <v>602</v>
      </c>
      <c r="E175" s="21" t="s">
        <v>603</v>
      </c>
      <c r="F175" s="53"/>
      <c r="G175" s="71">
        <v>2</v>
      </c>
      <c r="H175" s="72" t="s">
        <v>43</v>
      </c>
      <c r="I175" s="73">
        <f t="shared" si="5"/>
        <v>2</v>
      </c>
      <c r="J175" s="75"/>
      <c r="K175" s="215"/>
    </row>
    <row r="176" ht="20" customHeight="1" spans="1:11">
      <c r="A176" s="41"/>
      <c r="B176" s="45"/>
      <c r="C176" s="45"/>
      <c r="D176" s="48" t="s">
        <v>604</v>
      </c>
      <c r="E176" s="21" t="s">
        <v>605</v>
      </c>
      <c r="F176" s="53" t="s">
        <v>606</v>
      </c>
      <c r="G176" s="71">
        <v>3</v>
      </c>
      <c r="H176" s="72" t="s">
        <v>43</v>
      </c>
      <c r="I176" s="73">
        <f t="shared" si="5"/>
        <v>3</v>
      </c>
      <c r="J176" s="75"/>
      <c r="K176" s="215"/>
    </row>
    <row r="177" ht="20" customHeight="1" spans="1:11">
      <c r="A177" s="41"/>
      <c r="B177" s="55" t="s">
        <v>607</v>
      </c>
      <c r="C177" s="15" t="s">
        <v>608</v>
      </c>
      <c r="D177" s="48" t="s">
        <v>609</v>
      </c>
      <c r="E177" s="21" t="s">
        <v>610</v>
      </c>
      <c r="F177" s="53"/>
      <c r="G177" s="71">
        <v>2</v>
      </c>
      <c r="H177" s="72" t="s">
        <v>43</v>
      </c>
      <c r="I177" s="73">
        <f t="shared" si="5"/>
        <v>2</v>
      </c>
      <c r="J177" s="74">
        <f>SUM(I177:I178)</f>
        <v>5</v>
      </c>
      <c r="K177" s="215"/>
    </row>
    <row r="178" ht="20" customHeight="1" spans="1:11">
      <c r="A178" s="41"/>
      <c r="B178" s="15"/>
      <c r="C178" s="15" t="s">
        <v>611</v>
      </c>
      <c r="D178" s="48" t="s">
        <v>611</v>
      </c>
      <c r="E178" s="21" t="s">
        <v>612</v>
      </c>
      <c r="F178" s="53"/>
      <c r="G178" s="71">
        <v>3</v>
      </c>
      <c r="H178" s="72" t="s">
        <v>43</v>
      </c>
      <c r="I178" s="73">
        <f t="shared" si="5"/>
        <v>3</v>
      </c>
      <c r="J178" s="75"/>
      <c r="K178" s="215"/>
    </row>
    <row r="179" ht="20" customHeight="1" spans="1:11">
      <c r="A179" s="41"/>
      <c r="B179" s="15" t="s">
        <v>613</v>
      </c>
      <c r="C179" s="15" t="s">
        <v>614</v>
      </c>
      <c r="D179" s="48" t="s">
        <v>614</v>
      </c>
      <c r="E179" s="21" t="s">
        <v>615</v>
      </c>
      <c r="F179" s="53"/>
      <c r="G179" s="71">
        <v>2</v>
      </c>
      <c r="H179" s="72" t="s">
        <v>43</v>
      </c>
      <c r="I179" s="73">
        <f t="shared" si="5"/>
        <v>2</v>
      </c>
      <c r="J179" s="75">
        <f>SUM(I179:I179)</f>
        <v>2</v>
      </c>
      <c r="K179" s="215"/>
    </row>
    <row r="180" ht="20" customHeight="1" spans="1:11">
      <c r="A180" s="41"/>
      <c r="B180" s="15" t="s">
        <v>616</v>
      </c>
      <c r="C180" s="15" t="s">
        <v>395</v>
      </c>
      <c r="D180" s="48" t="s">
        <v>395</v>
      </c>
      <c r="E180" s="21" t="s">
        <v>617</v>
      </c>
      <c r="F180" s="53"/>
      <c r="G180" s="71">
        <v>5</v>
      </c>
      <c r="H180" s="72" t="s">
        <v>43</v>
      </c>
      <c r="I180" s="73">
        <f t="shared" si="5"/>
        <v>5</v>
      </c>
      <c r="J180" s="75">
        <f>SUM(I180:I180)</f>
        <v>5</v>
      </c>
      <c r="K180" s="215"/>
    </row>
    <row r="181" ht="20" customHeight="1" spans="1:11">
      <c r="A181" s="41"/>
      <c r="B181" s="15" t="s">
        <v>618</v>
      </c>
      <c r="C181" s="15" t="s">
        <v>619</v>
      </c>
      <c r="D181" s="48" t="s">
        <v>620</v>
      </c>
      <c r="E181" s="21" t="s">
        <v>621</v>
      </c>
      <c r="F181" s="53" t="s">
        <v>622</v>
      </c>
      <c r="G181" s="71">
        <v>10</v>
      </c>
      <c r="H181" s="72" t="s">
        <v>43</v>
      </c>
      <c r="I181" s="73">
        <f t="shared" si="5"/>
        <v>10</v>
      </c>
      <c r="J181" s="75">
        <f>SUM(I181:I181)</f>
        <v>10</v>
      </c>
      <c r="K181" s="215"/>
    </row>
    <row r="182" ht="20" customHeight="1" spans="1:11">
      <c r="A182" s="41"/>
      <c r="B182" s="44" t="s">
        <v>623</v>
      </c>
      <c r="C182" s="15" t="s">
        <v>624</v>
      </c>
      <c r="D182" s="48" t="s">
        <v>625</v>
      </c>
      <c r="E182" s="21" t="s">
        <v>626</v>
      </c>
      <c r="F182" s="53"/>
      <c r="G182" s="71">
        <v>1</v>
      </c>
      <c r="H182" s="72" t="s">
        <v>43</v>
      </c>
      <c r="I182" s="73">
        <f t="shared" si="5"/>
        <v>1</v>
      </c>
      <c r="J182" s="74">
        <f>SUM(I182:I187)</f>
        <v>15</v>
      </c>
      <c r="K182" s="215"/>
    </row>
    <row r="183" ht="20" customHeight="1" spans="1:11">
      <c r="A183" s="41"/>
      <c r="B183" s="43"/>
      <c r="C183" s="44" t="s">
        <v>627</v>
      </c>
      <c r="D183" s="48" t="s">
        <v>628</v>
      </c>
      <c r="E183" s="21" t="s">
        <v>629</v>
      </c>
      <c r="F183" s="53" t="s">
        <v>630</v>
      </c>
      <c r="G183" s="71">
        <v>6</v>
      </c>
      <c r="H183" s="72" t="s">
        <v>43</v>
      </c>
      <c r="I183" s="73">
        <f t="shared" si="5"/>
        <v>6</v>
      </c>
      <c r="J183" s="75"/>
      <c r="K183" s="215"/>
    </row>
    <row r="184" ht="20" customHeight="1" spans="1:11">
      <c r="A184" s="41"/>
      <c r="B184" s="43"/>
      <c r="C184" s="43"/>
      <c r="D184" s="48" t="s">
        <v>631</v>
      </c>
      <c r="E184" s="21" t="s">
        <v>632</v>
      </c>
      <c r="F184" s="53"/>
      <c r="G184" s="71">
        <v>2</v>
      </c>
      <c r="H184" s="72" t="s">
        <v>43</v>
      </c>
      <c r="I184" s="73">
        <f t="shared" si="5"/>
        <v>2</v>
      </c>
      <c r="J184" s="75"/>
      <c r="K184" s="215"/>
    </row>
    <row r="185" ht="20" customHeight="1" spans="1:11">
      <c r="A185" s="41"/>
      <c r="B185" s="43"/>
      <c r="C185" s="45"/>
      <c r="D185" s="48" t="s">
        <v>633</v>
      </c>
      <c r="E185" s="21" t="s">
        <v>634</v>
      </c>
      <c r="F185" s="53"/>
      <c r="G185" s="71">
        <v>1</v>
      </c>
      <c r="H185" s="72" t="s">
        <v>43</v>
      </c>
      <c r="I185" s="73">
        <f t="shared" si="5"/>
        <v>1</v>
      </c>
      <c r="J185" s="75"/>
      <c r="K185" s="215"/>
    </row>
    <row r="186" ht="20" customHeight="1" spans="1:11">
      <c r="A186" s="41"/>
      <c r="B186" s="43"/>
      <c r="C186" s="44" t="s">
        <v>635</v>
      </c>
      <c r="D186" s="48" t="s">
        <v>628</v>
      </c>
      <c r="E186" s="21" t="s">
        <v>636</v>
      </c>
      <c r="F186" s="53" t="s">
        <v>630</v>
      </c>
      <c r="G186" s="71">
        <v>2</v>
      </c>
      <c r="H186" s="72" t="s">
        <v>43</v>
      </c>
      <c r="I186" s="73">
        <f t="shared" si="5"/>
        <v>2</v>
      </c>
      <c r="J186" s="75"/>
      <c r="K186" s="215"/>
    </row>
    <row r="187" ht="20" customHeight="1" spans="1:11">
      <c r="A187" s="41"/>
      <c r="B187" s="43"/>
      <c r="C187" s="45"/>
      <c r="D187" s="48" t="s">
        <v>637</v>
      </c>
      <c r="E187" s="21" t="s">
        <v>638</v>
      </c>
      <c r="F187" s="53" t="s">
        <v>639</v>
      </c>
      <c r="G187" s="71">
        <v>3</v>
      </c>
      <c r="H187" s="72" t="s">
        <v>43</v>
      </c>
      <c r="I187" s="73">
        <f t="shared" si="5"/>
        <v>3</v>
      </c>
      <c r="J187" s="75"/>
      <c r="K187" s="215"/>
    </row>
    <row r="188" ht="20" customHeight="1" spans="1:11">
      <c r="A188" s="41"/>
      <c r="B188" s="44" t="s">
        <v>640</v>
      </c>
      <c r="C188" s="15" t="s">
        <v>641</v>
      </c>
      <c r="D188" s="48" t="s">
        <v>642</v>
      </c>
      <c r="E188" s="21" t="s">
        <v>643</v>
      </c>
      <c r="F188" s="53" t="s">
        <v>644</v>
      </c>
      <c r="G188" s="71">
        <v>1</v>
      </c>
      <c r="H188" s="72" t="s">
        <v>43</v>
      </c>
      <c r="I188" s="73">
        <f t="shared" si="5"/>
        <v>1</v>
      </c>
      <c r="J188" s="78">
        <f>SUM(I188:I191)</f>
        <v>23</v>
      </c>
      <c r="K188" s="215"/>
    </row>
    <row r="189" ht="20" customHeight="1" spans="1:11">
      <c r="A189" s="41"/>
      <c r="B189" s="43"/>
      <c r="C189" s="16" t="s">
        <v>645</v>
      </c>
      <c r="D189" s="48" t="s">
        <v>646</v>
      </c>
      <c r="E189" s="21" t="s">
        <v>647</v>
      </c>
      <c r="F189" s="53" t="s">
        <v>648</v>
      </c>
      <c r="G189" s="71">
        <v>10</v>
      </c>
      <c r="H189" s="72" t="s">
        <v>43</v>
      </c>
      <c r="I189" s="73">
        <f t="shared" si="5"/>
        <v>10</v>
      </c>
      <c r="J189" s="77"/>
      <c r="K189" s="215"/>
    </row>
    <row r="190" ht="20" customHeight="1" spans="1:11">
      <c r="A190" s="41"/>
      <c r="B190" s="43"/>
      <c r="C190" s="16" t="s">
        <v>649</v>
      </c>
      <c r="D190" s="48" t="s">
        <v>650</v>
      </c>
      <c r="E190" s="21" t="s">
        <v>651</v>
      </c>
      <c r="F190" s="53" t="s">
        <v>652</v>
      </c>
      <c r="G190" s="71">
        <v>2</v>
      </c>
      <c r="H190" s="72" t="s">
        <v>43</v>
      </c>
      <c r="I190" s="73">
        <f t="shared" si="5"/>
        <v>2</v>
      </c>
      <c r="J190" s="77"/>
      <c r="K190" s="215"/>
    </row>
    <row r="191" ht="20" customHeight="1" spans="1:11">
      <c r="A191" s="41"/>
      <c r="B191" s="45"/>
      <c r="C191" s="16" t="s">
        <v>653</v>
      </c>
      <c r="D191" s="48" t="s">
        <v>654</v>
      </c>
      <c r="E191" s="21" t="s">
        <v>655</v>
      </c>
      <c r="F191" s="53" t="s">
        <v>648</v>
      </c>
      <c r="G191" s="71">
        <v>10</v>
      </c>
      <c r="H191" s="72" t="s">
        <v>43</v>
      </c>
      <c r="I191" s="73">
        <f t="shared" si="5"/>
        <v>10</v>
      </c>
      <c r="J191" s="79"/>
      <c r="K191" s="215"/>
    </row>
    <row r="192" ht="20" customHeight="1" spans="1:11">
      <c r="A192" s="41"/>
      <c r="B192" s="44" t="s">
        <v>656</v>
      </c>
      <c r="C192" s="52" t="s">
        <v>657</v>
      </c>
      <c r="D192" s="48" t="s">
        <v>658</v>
      </c>
      <c r="E192" s="21" t="s">
        <v>659</v>
      </c>
      <c r="F192" s="53"/>
      <c r="G192" s="71">
        <v>2</v>
      </c>
      <c r="H192" s="72" t="s">
        <v>43</v>
      </c>
      <c r="I192" s="73">
        <f t="shared" ref="I192:I209" si="6">IF(H192&lt;&gt;0,G192,0)</f>
        <v>2</v>
      </c>
      <c r="J192" s="74">
        <f>SUM(I192:I193)</f>
        <v>6</v>
      </c>
      <c r="K192" s="215"/>
    </row>
    <row r="193" ht="20" customHeight="1" spans="1:11">
      <c r="A193" s="41"/>
      <c r="B193" s="45"/>
      <c r="C193" s="15" t="s">
        <v>660</v>
      </c>
      <c r="D193" s="48" t="s">
        <v>660</v>
      </c>
      <c r="E193" s="21" t="s">
        <v>661</v>
      </c>
      <c r="F193" s="53"/>
      <c r="G193" s="71">
        <v>4</v>
      </c>
      <c r="H193" s="72" t="s">
        <v>43</v>
      </c>
      <c r="I193" s="73">
        <f t="shared" si="6"/>
        <v>4</v>
      </c>
      <c r="J193" s="75"/>
      <c r="K193" s="215"/>
    </row>
    <row r="194" ht="20" customHeight="1" spans="1:11">
      <c r="A194" s="41"/>
      <c r="B194" s="55" t="s">
        <v>662</v>
      </c>
      <c r="C194" s="15" t="s">
        <v>663</v>
      </c>
      <c r="D194" s="48" t="s">
        <v>663</v>
      </c>
      <c r="E194" s="21" t="s">
        <v>664</v>
      </c>
      <c r="F194" s="53" t="s">
        <v>665</v>
      </c>
      <c r="G194" s="71">
        <v>3</v>
      </c>
      <c r="H194" s="72" t="s">
        <v>43</v>
      </c>
      <c r="I194" s="73">
        <f t="shared" si="6"/>
        <v>3</v>
      </c>
      <c r="J194" s="74">
        <f>SUM(I194:I196)</f>
        <v>8</v>
      </c>
      <c r="K194" s="215"/>
    </row>
    <row r="195" ht="20" customHeight="1" spans="1:11">
      <c r="A195" s="41"/>
      <c r="B195" s="15"/>
      <c r="C195" s="15" t="s">
        <v>666</v>
      </c>
      <c r="D195" s="48" t="s">
        <v>666</v>
      </c>
      <c r="E195" s="21" t="s">
        <v>667</v>
      </c>
      <c r="F195" s="53" t="s">
        <v>668</v>
      </c>
      <c r="G195" s="71">
        <v>3</v>
      </c>
      <c r="H195" s="72" t="s">
        <v>43</v>
      </c>
      <c r="I195" s="73">
        <f t="shared" si="6"/>
        <v>3</v>
      </c>
      <c r="J195" s="75"/>
      <c r="K195" s="215"/>
    </row>
    <row r="196" ht="20" customHeight="1" spans="1:13">
      <c r="A196" s="41"/>
      <c r="B196" s="15"/>
      <c r="C196" s="15" t="s">
        <v>669</v>
      </c>
      <c r="D196" s="48" t="s">
        <v>669</v>
      </c>
      <c r="E196" s="21" t="s">
        <v>670</v>
      </c>
      <c r="F196" s="53"/>
      <c r="G196" s="71">
        <v>2</v>
      </c>
      <c r="H196" s="72" t="s">
        <v>43</v>
      </c>
      <c r="I196" s="73">
        <f t="shared" si="6"/>
        <v>2</v>
      </c>
      <c r="J196" s="75"/>
      <c r="K196" s="215"/>
      <c r="M196"/>
    </row>
    <row r="197" ht="25" customHeight="1" spans="1:13">
      <c r="A197" s="41"/>
      <c r="B197" s="211" t="s">
        <v>671</v>
      </c>
      <c r="C197" s="15" t="s">
        <v>672</v>
      </c>
      <c r="D197" s="48" t="s">
        <v>673</v>
      </c>
      <c r="E197" s="21" t="s">
        <v>674</v>
      </c>
      <c r="F197" s="53" t="s">
        <v>675</v>
      </c>
      <c r="G197" s="71">
        <v>6</v>
      </c>
      <c r="H197" s="72" t="s">
        <v>43</v>
      </c>
      <c r="I197" s="73">
        <f t="shared" si="6"/>
        <v>6</v>
      </c>
      <c r="J197" s="133">
        <f>SUM(I197:I208)</f>
        <v>54</v>
      </c>
      <c r="K197" s="215"/>
      <c r="M197"/>
    </row>
    <row r="198" ht="25" customHeight="1" spans="1:13">
      <c r="A198" s="41"/>
      <c r="B198" s="43"/>
      <c r="C198" s="90" t="s">
        <v>676</v>
      </c>
      <c r="D198" s="48" t="s">
        <v>677</v>
      </c>
      <c r="E198" s="21" t="s">
        <v>678</v>
      </c>
      <c r="F198" s="53" t="s">
        <v>679</v>
      </c>
      <c r="G198" s="71">
        <v>5</v>
      </c>
      <c r="H198" s="72" t="s">
        <v>43</v>
      </c>
      <c r="I198" s="75">
        <f t="shared" si="6"/>
        <v>5</v>
      </c>
      <c r="J198" s="69"/>
      <c r="K198" s="215"/>
      <c r="M198"/>
    </row>
    <row r="199" ht="25" customHeight="1" spans="1:13">
      <c r="A199" s="41"/>
      <c r="B199" s="43"/>
      <c r="C199" s="90" t="s">
        <v>680</v>
      </c>
      <c r="D199" s="48" t="s">
        <v>681</v>
      </c>
      <c r="E199" s="21" t="s">
        <v>682</v>
      </c>
      <c r="F199" s="53" t="s">
        <v>683</v>
      </c>
      <c r="G199" s="71">
        <v>5</v>
      </c>
      <c r="H199" s="72" t="s">
        <v>43</v>
      </c>
      <c r="I199" s="75">
        <f t="shared" si="6"/>
        <v>5</v>
      </c>
      <c r="J199" s="69"/>
      <c r="K199" s="215"/>
      <c r="M199"/>
    </row>
    <row r="200" ht="25" customHeight="1" spans="1:13">
      <c r="A200" s="41"/>
      <c r="B200" s="43"/>
      <c r="C200" s="90" t="s">
        <v>684</v>
      </c>
      <c r="D200" s="48"/>
      <c r="E200" s="21" t="s">
        <v>685</v>
      </c>
      <c r="F200" s="53" t="s">
        <v>686</v>
      </c>
      <c r="G200" s="71">
        <v>6</v>
      </c>
      <c r="H200" s="72" t="s">
        <v>43</v>
      </c>
      <c r="I200" s="75">
        <f t="shared" si="6"/>
        <v>6</v>
      </c>
      <c r="J200" s="69"/>
      <c r="K200" s="215"/>
      <c r="M200"/>
    </row>
    <row r="201" ht="25" customHeight="1" spans="1:13">
      <c r="A201" s="41"/>
      <c r="B201" s="43"/>
      <c r="C201" s="90" t="s">
        <v>687</v>
      </c>
      <c r="D201" s="48" t="s">
        <v>688</v>
      </c>
      <c r="E201" s="21" t="s">
        <v>689</v>
      </c>
      <c r="F201" s="53" t="s">
        <v>690</v>
      </c>
      <c r="G201" s="71">
        <v>3</v>
      </c>
      <c r="H201" s="72" t="s">
        <v>43</v>
      </c>
      <c r="I201" s="75">
        <f t="shared" si="6"/>
        <v>3</v>
      </c>
      <c r="J201" s="69"/>
      <c r="K201" s="215"/>
      <c r="M201"/>
    </row>
    <row r="202" ht="25" customHeight="1" spans="1:13">
      <c r="A202" s="41"/>
      <c r="B202" s="43"/>
      <c r="C202" s="90" t="s">
        <v>691</v>
      </c>
      <c r="D202" s="48" t="s">
        <v>688</v>
      </c>
      <c r="E202" s="21" t="s">
        <v>692</v>
      </c>
      <c r="F202" s="53" t="s">
        <v>693</v>
      </c>
      <c r="G202" s="71">
        <v>4</v>
      </c>
      <c r="H202" s="72" t="s">
        <v>43</v>
      </c>
      <c r="I202" s="75">
        <f t="shared" si="6"/>
        <v>4</v>
      </c>
      <c r="J202" s="69"/>
      <c r="K202" s="215"/>
      <c r="M202"/>
    </row>
    <row r="203" ht="25" customHeight="1" spans="1:13">
      <c r="A203" s="41"/>
      <c r="B203" s="43"/>
      <c r="C203" s="90" t="s">
        <v>694</v>
      </c>
      <c r="D203" s="48" t="s">
        <v>695</v>
      </c>
      <c r="E203" s="21" t="s">
        <v>692</v>
      </c>
      <c r="F203" s="53" t="s">
        <v>696</v>
      </c>
      <c r="G203" s="71">
        <v>3</v>
      </c>
      <c r="H203" s="72" t="s">
        <v>43</v>
      </c>
      <c r="I203" s="75">
        <f t="shared" si="6"/>
        <v>3</v>
      </c>
      <c r="J203" s="69"/>
      <c r="K203" s="215"/>
      <c r="M203"/>
    </row>
    <row r="204" ht="25" customHeight="1" spans="1:13">
      <c r="A204" s="41"/>
      <c r="B204" s="43"/>
      <c r="C204" s="90" t="s">
        <v>697</v>
      </c>
      <c r="D204" s="48" t="s">
        <v>698</v>
      </c>
      <c r="E204" s="21" t="s">
        <v>699</v>
      </c>
      <c r="F204" s="168" t="s">
        <v>700</v>
      </c>
      <c r="G204" s="112"/>
      <c r="H204" s="72" t="s">
        <v>43</v>
      </c>
      <c r="I204" s="75">
        <f t="shared" si="6"/>
        <v>0</v>
      </c>
      <c r="J204" s="69"/>
      <c r="K204" s="215"/>
      <c r="M204"/>
    </row>
    <row r="205" ht="25" customHeight="1" spans="1:13">
      <c r="A205" s="41"/>
      <c r="B205" s="43"/>
      <c r="C205" s="90" t="s">
        <v>701</v>
      </c>
      <c r="D205" s="48" t="s">
        <v>702</v>
      </c>
      <c r="E205" s="21" t="s">
        <v>703</v>
      </c>
      <c r="F205" s="53" t="s">
        <v>704</v>
      </c>
      <c r="G205" s="71">
        <v>8</v>
      </c>
      <c r="H205" s="72" t="s">
        <v>43</v>
      </c>
      <c r="I205" s="75">
        <f t="shared" si="6"/>
        <v>8</v>
      </c>
      <c r="J205" s="69"/>
      <c r="K205" s="215"/>
      <c r="M205"/>
    </row>
    <row r="206" ht="25" customHeight="1" spans="1:13">
      <c r="A206" s="41"/>
      <c r="B206" s="43"/>
      <c r="C206" s="90" t="s">
        <v>705</v>
      </c>
      <c r="D206" s="48" t="s">
        <v>706</v>
      </c>
      <c r="E206" s="21" t="s">
        <v>707</v>
      </c>
      <c r="F206" s="53" t="s">
        <v>708</v>
      </c>
      <c r="G206" s="71">
        <v>2</v>
      </c>
      <c r="H206" s="72" t="s">
        <v>43</v>
      </c>
      <c r="I206" s="75">
        <f t="shared" si="6"/>
        <v>2</v>
      </c>
      <c r="J206" s="69"/>
      <c r="K206" s="215"/>
      <c r="M206"/>
    </row>
    <row r="207" ht="25" customHeight="1" spans="1:13">
      <c r="A207" s="41"/>
      <c r="B207" s="43"/>
      <c r="C207" s="15" t="s">
        <v>709</v>
      </c>
      <c r="D207" s="48" t="s">
        <v>710</v>
      </c>
      <c r="E207" s="21" t="s">
        <v>711</v>
      </c>
      <c r="F207" s="53" t="s">
        <v>712</v>
      </c>
      <c r="G207" s="71">
        <v>9</v>
      </c>
      <c r="H207" s="72" t="s">
        <v>43</v>
      </c>
      <c r="I207" s="73">
        <f t="shared" si="6"/>
        <v>9</v>
      </c>
      <c r="J207" s="69"/>
      <c r="K207" s="216"/>
      <c r="M207"/>
    </row>
    <row r="208" ht="25" customHeight="1" spans="1:13">
      <c r="A208" s="41"/>
      <c r="B208" s="43"/>
      <c r="C208" s="15" t="s">
        <v>713</v>
      </c>
      <c r="D208" s="48" t="s">
        <v>714</v>
      </c>
      <c r="E208" s="21" t="s">
        <v>715</v>
      </c>
      <c r="F208" s="53" t="s">
        <v>716</v>
      </c>
      <c r="G208" s="71">
        <v>3</v>
      </c>
      <c r="H208" s="72" t="s">
        <v>43</v>
      </c>
      <c r="I208" s="73">
        <f t="shared" si="6"/>
        <v>3</v>
      </c>
      <c r="J208" s="70"/>
      <c r="K208" s="216"/>
      <c r="M208"/>
    </row>
    <row r="209" ht="20" customHeight="1" spans="1:13">
      <c r="A209" s="41"/>
      <c r="B209" s="15" t="s">
        <v>717</v>
      </c>
      <c r="C209" s="15" t="s">
        <v>718</v>
      </c>
      <c r="D209" s="48" t="s">
        <v>719</v>
      </c>
      <c r="E209" s="21" t="s">
        <v>720</v>
      </c>
      <c r="F209" s="53" t="s">
        <v>721</v>
      </c>
      <c r="G209" s="71">
        <v>5</v>
      </c>
      <c r="H209" s="72" t="s">
        <v>43</v>
      </c>
      <c r="I209" s="73">
        <f t="shared" si="6"/>
        <v>5</v>
      </c>
      <c r="J209" s="75">
        <f>SUM(I209:I209)</f>
        <v>5</v>
      </c>
      <c r="K209" s="216"/>
      <c r="M209"/>
    </row>
    <row r="210" ht="20" customHeight="1" spans="1:13">
      <c r="A210" s="41"/>
      <c r="B210" s="103" t="s">
        <v>722</v>
      </c>
      <c r="C210" s="103"/>
      <c r="D210" s="105"/>
      <c r="E210" s="106"/>
      <c r="F210" s="105"/>
      <c r="G210" s="113"/>
      <c r="H210" s="103"/>
      <c r="I210" s="217"/>
      <c r="J210" s="115">
        <f>SUM(I3:I209)</f>
        <v>1025</v>
      </c>
      <c r="K210" s="216"/>
      <c r="M210"/>
    </row>
    <row r="211" ht="20" customHeight="1" spans="1:11">
      <c r="A211" s="41"/>
      <c r="B211" s="16" t="s">
        <v>723</v>
      </c>
      <c r="C211" s="16" t="s">
        <v>724</v>
      </c>
      <c r="D211" s="107">
        <v>50</v>
      </c>
      <c r="E211" s="52" t="s">
        <v>725</v>
      </c>
      <c r="F211" s="48">
        <f>IF(D211&lt;=50,0,IF(D211&lt;71,INT((J210*0.05+0.99)),IF(D211&lt;91,INT((J210*0.1+0.99)),IF(D211&lt;131,INT((J210*0.15+0.99)),IF(D211&lt;1001,INT((J210*0.25+0.99)))))))</f>
        <v>0</v>
      </c>
      <c r="G211" s="112"/>
      <c r="H211" s="72" t="s">
        <v>43</v>
      </c>
      <c r="I211" s="218"/>
      <c r="J211" s="75">
        <f>F211</f>
        <v>0</v>
      </c>
      <c r="K211" s="216"/>
    </row>
    <row r="212" ht="20" customHeight="1" spans="1:11">
      <c r="A212" s="41"/>
      <c r="B212" s="103" t="s">
        <v>722</v>
      </c>
      <c r="C212" s="103"/>
      <c r="D212" s="105"/>
      <c r="E212" s="106"/>
      <c r="F212" s="105"/>
      <c r="G212" s="113"/>
      <c r="H212" s="103"/>
      <c r="I212" s="217"/>
      <c r="J212" s="115">
        <f>J210+J211</f>
        <v>1025</v>
      </c>
      <c r="K212" s="216"/>
    </row>
    <row r="213" ht="20" customHeight="1" spans="1:11">
      <c r="A213" s="41"/>
      <c r="B213" s="16"/>
      <c r="C213" s="16" t="s">
        <v>444</v>
      </c>
      <c r="D213" s="48" t="s">
        <v>726</v>
      </c>
      <c r="E213" s="52" t="s">
        <v>727</v>
      </c>
      <c r="F213" s="48" t="s">
        <v>728</v>
      </c>
      <c r="G213" s="117">
        <v>0</v>
      </c>
      <c r="H213" s="72" t="s">
        <v>43</v>
      </c>
      <c r="I213" s="218"/>
      <c r="J213" s="75">
        <f>J212*G213</f>
        <v>0</v>
      </c>
      <c r="K213" s="216"/>
    </row>
    <row r="214" ht="20" customHeight="1" spans="1:11">
      <c r="A214" s="41"/>
      <c r="B214" s="103" t="s">
        <v>722</v>
      </c>
      <c r="C214" s="103"/>
      <c r="D214" s="105"/>
      <c r="E214" s="106"/>
      <c r="F214" s="105"/>
      <c r="G214" s="113"/>
      <c r="H214" s="103"/>
      <c r="I214" s="217"/>
      <c r="J214" s="115">
        <f>J212+J213</f>
        <v>1025</v>
      </c>
      <c r="K214" s="216"/>
    </row>
    <row r="215" ht="20" customHeight="1" spans="1:11">
      <c r="A215" s="46"/>
      <c r="B215" s="15"/>
      <c r="C215" s="16" t="s">
        <v>729</v>
      </c>
      <c r="D215" s="48" t="s">
        <v>730</v>
      </c>
      <c r="E215" s="52" t="s">
        <v>731</v>
      </c>
      <c r="F215" s="48" t="s">
        <v>732</v>
      </c>
      <c r="G215" s="117">
        <v>0.1</v>
      </c>
      <c r="H215" s="72" t="s">
        <v>43</v>
      </c>
      <c r="I215" s="219">
        <v>0</v>
      </c>
      <c r="J215" s="75">
        <f>J214*I215*G215</f>
        <v>0</v>
      </c>
      <c r="K215" s="220"/>
    </row>
    <row r="216" ht="20" customHeight="1" spans="1:11">
      <c r="A216" s="46"/>
      <c r="B216" s="103" t="s">
        <v>733</v>
      </c>
      <c r="C216" s="103"/>
      <c r="D216" s="105"/>
      <c r="E216" s="106"/>
      <c r="F216" s="105"/>
      <c r="G216" s="113"/>
      <c r="H216" s="103"/>
      <c r="I216" s="217"/>
      <c r="J216" s="115">
        <f>SUM(J214:J215)</f>
        <v>1025</v>
      </c>
      <c r="K216" s="221"/>
    </row>
    <row r="217" ht="17.25" customHeight="1" spans="1:10">
      <c r="A217" s="104"/>
      <c r="B217" s="104"/>
      <c r="C217" s="104"/>
      <c r="D217" s="108"/>
      <c r="E217" s="108"/>
      <c r="F217" s="108"/>
      <c r="G217" s="119"/>
      <c r="H217" s="120"/>
      <c r="I217" s="119"/>
      <c r="J217" s="119"/>
    </row>
    <row r="218" s="1" customFormat="1" ht="17.25" customHeight="1" spans="4:11">
      <c r="D218" s="29"/>
      <c r="F218" s="109"/>
      <c r="G218" s="121"/>
      <c r="I218" s="122"/>
      <c r="J218" s="30"/>
      <c r="K218" s="30"/>
    </row>
    <row r="219" s="1" customFormat="1" ht="17.25" customHeight="1" spans="4:11">
      <c r="D219" s="110"/>
      <c r="F219" s="30"/>
      <c r="G219" s="121"/>
      <c r="I219" s="122"/>
      <c r="J219" s="30"/>
      <c r="K219" s="30"/>
    </row>
    <row r="220" s="1" customFormat="1" ht="17.25" customHeight="1" spans="4:11">
      <c r="D220" s="111"/>
      <c r="F220" s="30"/>
      <c r="G220" s="121"/>
      <c r="I220" s="122"/>
      <c r="J220" s="30"/>
      <c r="K220" s="30"/>
    </row>
  </sheetData>
  <mergeCells count="70">
    <mergeCell ref="B1:J1"/>
    <mergeCell ref="B210:I210"/>
    <mergeCell ref="B212:I212"/>
    <mergeCell ref="B214:I214"/>
    <mergeCell ref="B216:I216"/>
    <mergeCell ref="B3:B9"/>
    <mergeCell ref="B10:B18"/>
    <mergeCell ref="B19:B59"/>
    <mergeCell ref="B63:B96"/>
    <mergeCell ref="B97:B107"/>
    <mergeCell ref="B108:B115"/>
    <mergeCell ref="B116:B117"/>
    <mergeCell ref="B118:B127"/>
    <mergeCell ref="B128:B130"/>
    <mergeCell ref="B131:B144"/>
    <mergeCell ref="B145:B146"/>
    <mergeCell ref="B147:B157"/>
    <mergeCell ref="B158:B164"/>
    <mergeCell ref="B165:B167"/>
    <mergeCell ref="B168:B170"/>
    <mergeCell ref="B172:B176"/>
    <mergeCell ref="B177:B178"/>
    <mergeCell ref="B182:B187"/>
    <mergeCell ref="B188:B191"/>
    <mergeCell ref="B192:B193"/>
    <mergeCell ref="B194:B196"/>
    <mergeCell ref="B197:B208"/>
    <mergeCell ref="C15:C16"/>
    <mergeCell ref="C22:C24"/>
    <mergeCell ref="C61:C62"/>
    <mergeCell ref="C63:C66"/>
    <mergeCell ref="C69:C73"/>
    <mergeCell ref="C77:C79"/>
    <mergeCell ref="C84:C88"/>
    <mergeCell ref="C89:C92"/>
    <mergeCell ref="C93:C96"/>
    <mergeCell ref="C98:C99"/>
    <mergeCell ref="C105:C106"/>
    <mergeCell ref="C108:C114"/>
    <mergeCell ref="C123:C125"/>
    <mergeCell ref="C168:C170"/>
    <mergeCell ref="C172:C173"/>
    <mergeCell ref="C174:C176"/>
    <mergeCell ref="C183:C185"/>
    <mergeCell ref="C186:C187"/>
    <mergeCell ref="J3:J9"/>
    <mergeCell ref="J10:J18"/>
    <mergeCell ref="J19:J62"/>
    <mergeCell ref="J63:J96"/>
    <mergeCell ref="J97:J107"/>
    <mergeCell ref="J108:J115"/>
    <mergeCell ref="J116:J117"/>
    <mergeCell ref="J118:J127"/>
    <mergeCell ref="J128:J130"/>
    <mergeCell ref="J131:J144"/>
    <mergeCell ref="J145:J146"/>
    <mergeCell ref="J147:J157"/>
    <mergeCell ref="J158:J164"/>
    <mergeCell ref="J165:J167"/>
    <mergeCell ref="J168:J170"/>
    <mergeCell ref="J172:J176"/>
    <mergeCell ref="J177:J178"/>
    <mergeCell ref="J182:J187"/>
    <mergeCell ref="J188:J191"/>
    <mergeCell ref="J192:J193"/>
    <mergeCell ref="J194:J196"/>
    <mergeCell ref="J197:J208"/>
    <mergeCell ref="K84:K88"/>
    <mergeCell ref="K89:K92"/>
    <mergeCell ref="K93:K9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M226"/>
  <sheetViews>
    <sheetView workbookViewId="0">
      <pane ySplit="2" topLeftCell="A3" activePane="bottomLeft" state="frozen"/>
      <selection/>
      <selection pane="bottomLeft" activeCell="A1" sqref="A1"/>
    </sheetView>
  </sheetViews>
  <sheetFormatPr defaultColWidth="9" defaultRowHeight="16.8"/>
  <cols>
    <col min="1" max="1" width="1.86538461538462" style="33" customWidth="1"/>
    <col min="2" max="2" width="11.4326923076923" style="28" customWidth="1"/>
    <col min="3" max="4" width="14.8653846153846" style="28" customWidth="1"/>
    <col min="5" max="5" width="19.2884615384615" style="28" customWidth="1"/>
    <col min="6" max="6" width="28.8653846153846" style="29" customWidth="1"/>
    <col min="7" max="7" width="52.7211538461538" style="1" customWidth="1"/>
    <col min="8" max="8" width="52.7211538461538" style="30" customWidth="1"/>
    <col min="9" max="9" width="11.1442307692308" style="31" customWidth="1"/>
    <col min="10" max="10" width="9.86538461538461" style="28" customWidth="1"/>
    <col min="11" max="11" width="7.43269230769231" style="32" customWidth="1"/>
    <col min="12" max="12" width="10.2884615384615" style="33" customWidth="1"/>
    <col min="13" max="13" width="12.4326923076923" style="28" customWidth="1"/>
  </cols>
  <sheetData>
    <row r="1" ht="17.25" customHeight="1" spans="1:12">
      <c r="A1" s="178"/>
      <c r="B1" s="35"/>
      <c r="C1" s="35"/>
      <c r="D1" s="35"/>
      <c r="E1" s="35"/>
      <c r="F1" s="49"/>
      <c r="G1" s="50"/>
      <c r="H1" s="49"/>
      <c r="I1" s="61"/>
      <c r="J1" s="35"/>
      <c r="K1" s="62"/>
      <c r="L1" s="63"/>
    </row>
    <row r="2" s="1" customFormat="1" ht="17.25" customHeight="1" spans="1:13">
      <c r="A2" s="179"/>
      <c r="B2" s="4" t="s">
        <v>28</v>
      </c>
      <c r="C2" s="4" t="s">
        <v>29</v>
      </c>
      <c r="D2" s="4" t="s">
        <v>734</v>
      </c>
      <c r="E2" s="4" t="s">
        <v>735</v>
      </c>
      <c r="F2" s="51" t="s">
        <v>30</v>
      </c>
      <c r="G2" s="4" t="s">
        <v>31</v>
      </c>
      <c r="H2" s="51" t="s">
        <v>32</v>
      </c>
      <c r="I2" s="64" t="s">
        <v>33</v>
      </c>
      <c r="J2" s="4" t="s">
        <v>34</v>
      </c>
      <c r="K2" s="65" t="s">
        <v>35</v>
      </c>
      <c r="L2" s="51" t="s">
        <v>36</v>
      </c>
      <c r="M2" s="82"/>
    </row>
    <row r="3" s="1" customFormat="1" ht="25" customHeight="1" spans="1:13">
      <c r="A3" s="179"/>
      <c r="B3" s="37" t="s">
        <v>736</v>
      </c>
      <c r="C3" s="38" t="s">
        <v>737</v>
      </c>
      <c r="D3" s="38" t="s">
        <v>738</v>
      </c>
      <c r="E3" s="52" t="s">
        <v>739</v>
      </c>
      <c r="F3" s="48" t="s">
        <v>739</v>
      </c>
      <c r="G3" s="21"/>
      <c r="H3" s="53"/>
      <c r="I3" s="48">
        <v>0</v>
      </c>
      <c r="J3" s="66" t="s">
        <v>43</v>
      </c>
      <c r="K3" s="67">
        <f t="shared" ref="K3:K66" si="0">IF(J3&lt;&gt;0,I3,0)</f>
        <v>0</v>
      </c>
      <c r="L3" s="68">
        <f>SUM(K3:K6)</f>
        <v>0</v>
      </c>
      <c r="M3" s="82"/>
    </row>
    <row r="4" s="1" customFormat="1" ht="25" customHeight="1" spans="1:13">
      <c r="A4" s="179"/>
      <c r="B4" s="39"/>
      <c r="C4" s="40"/>
      <c r="D4" s="40"/>
      <c r="E4" s="52" t="s">
        <v>596</v>
      </c>
      <c r="F4" s="48" t="s">
        <v>596</v>
      </c>
      <c r="G4" s="21"/>
      <c r="H4" s="53"/>
      <c r="I4" s="48">
        <v>0</v>
      </c>
      <c r="J4" s="66" t="s">
        <v>43</v>
      </c>
      <c r="K4" s="67">
        <f t="shared" si="0"/>
        <v>0</v>
      </c>
      <c r="L4" s="69"/>
      <c r="M4" s="82"/>
    </row>
    <row r="5" s="1" customFormat="1" ht="25" customHeight="1" spans="1:13">
      <c r="A5" s="179"/>
      <c r="B5" s="39"/>
      <c r="C5" s="40"/>
      <c r="D5" s="40"/>
      <c r="E5" s="52" t="s">
        <v>740</v>
      </c>
      <c r="F5" s="48" t="s">
        <v>740</v>
      </c>
      <c r="G5" s="21"/>
      <c r="H5" s="53"/>
      <c r="I5" s="48">
        <v>0</v>
      </c>
      <c r="J5" s="66" t="s">
        <v>43</v>
      </c>
      <c r="K5" s="67">
        <f t="shared" si="0"/>
        <v>0</v>
      </c>
      <c r="L5" s="69"/>
      <c r="M5" s="82"/>
    </row>
    <row r="6" s="1" customFormat="1" ht="25" customHeight="1" spans="1:13">
      <c r="A6" s="179"/>
      <c r="B6" s="39"/>
      <c r="C6" s="40"/>
      <c r="D6" s="40"/>
      <c r="E6" s="52" t="s">
        <v>741</v>
      </c>
      <c r="F6" s="48" t="s">
        <v>741</v>
      </c>
      <c r="G6" s="21"/>
      <c r="H6" s="53"/>
      <c r="I6" s="48">
        <v>0</v>
      </c>
      <c r="J6" s="66" t="s">
        <v>43</v>
      </c>
      <c r="K6" s="67">
        <f t="shared" si="0"/>
        <v>0</v>
      </c>
      <c r="L6" s="70"/>
      <c r="M6" s="82"/>
    </row>
    <row r="7" ht="25" customHeight="1" spans="1:13">
      <c r="A7" s="180"/>
      <c r="B7" s="42"/>
      <c r="C7" s="43"/>
      <c r="D7" s="55" t="s">
        <v>92</v>
      </c>
      <c r="E7" s="52" t="s">
        <v>93</v>
      </c>
      <c r="F7" s="54" t="s">
        <v>94</v>
      </c>
      <c r="G7" s="21" t="s">
        <v>95</v>
      </c>
      <c r="H7" s="53" t="s">
        <v>96</v>
      </c>
      <c r="I7" s="71">
        <v>2</v>
      </c>
      <c r="J7" s="72" t="s">
        <v>43</v>
      </c>
      <c r="K7" s="73">
        <f t="shared" si="0"/>
        <v>2</v>
      </c>
      <c r="L7" s="74">
        <f>SUM(K7:K19)</f>
        <v>27</v>
      </c>
      <c r="M7" s="83"/>
    </row>
    <row r="8" ht="25" customHeight="1" spans="1:13">
      <c r="A8" s="180"/>
      <c r="B8" s="42"/>
      <c r="C8" s="43"/>
      <c r="D8" s="15"/>
      <c r="E8" s="55" t="s">
        <v>103</v>
      </c>
      <c r="F8" s="54" t="s">
        <v>104</v>
      </c>
      <c r="G8" s="21" t="s">
        <v>105</v>
      </c>
      <c r="H8" s="53" t="s">
        <v>106</v>
      </c>
      <c r="I8" s="71">
        <v>2</v>
      </c>
      <c r="J8" s="72" t="s">
        <v>43</v>
      </c>
      <c r="K8" s="73">
        <f t="shared" si="0"/>
        <v>2</v>
      </c>
      <c r="L8" s="75"/>
      <c r="M8" s="83"/>
    </row>
    <row r="9" ht="25" customHeight="1" spans="1:13">
      <c r="A9" s="180"/>
      <c r="B9" s="42"/>
      <c r="C9" s="43"/>
      <c r="D9" s="15"/>
      <c r="E9" s="15"/>
      <c r="F9" s="54" t="s">
        <v>107</v>
      </c>
      <c r="G9" s="21" t="s">
        <v>108</v>
      </c>
      <c r="H9" s="53" t="s">
        <v>109</v>
      </c>
      <c r="I9" s="71">
        <v>1</v>
      </c>
      <c r="J9" s="72" t="s">
        <v>43</v>
      </c>
      <c r="K9" s="73">
        <f t="shared" si="0"/>
        <v>1</v>
      </c>
      <c r="L9" s="75"/>
      <c r="M9" s="83"/>
    </row>
    <row r="10" ht="25" customHeight="1" spans="1:13">
      <c r="A10" s="180"/>
      <c r="B10" s="42"/>
      <c r="C10" s="43"/>
      <c r="D10" s="15"/>
      <c r="E10" s="15"/>
      <c r="F10" s="54" t="s">
        <v>110</v>
      </c>
      <c r="G10" s="21" t="s">
        <v>111</v>
      </c>
      <c r="H10" s="53"/>
      <c r="I10" s="71">
        <v>3</v>
      </c>
      <c r="J10" s="72" t="s">
        <v>43</v>
      </c>
      <c r="K10" s="73">
        <f t="shared" si="0"/>
        <v>3</v>
      </c>
      <c r="L10" s="75"/>
      <c r="M10" s="83"/>
    </row>
    <row r="11" ht="25" customHeight="1" spans="1:13">
      <c r="A11" s="180"/>
      <c r="B11" s="42"/>
      <c r="C11" s="43"/>
      <c r="D11" s="15"/>
      <c r="E11" s="15" t="s">
        <v>140</v>
      </c>
      <c r="F11" s="54" t="s">
        <v>141</v>
      </c>
      <c r="G11" s="21" t="s">
        <v>142</v>
      </c>
      <c r="H11" s="53" t="s">
        <v>143</v>
      </c>
      <c r="I11" s="71">
        <v>2</v>
      </c>
      <c r="J11" s="72" t="s">
        <v>43</v>
      </c>
      <c r="K11" s="73">
        <f t="shared" si="0"/>
        <v>2</v>
      </c>
      <c r="L11" s="75"/>
      <c r="M11" s="83"/>
    </row>
    <row r="12" ht="25" customHeight="1" spans="1:13">
      <c r="A12" s="180"/>
      <c r="B12" s="42"/>
      <c r="C12" s="43"/>
      <c r="D12" s="15"/>
      <c r="E12" s="15" t="s">
        <v>144</v>
      </c>
      <c r="F12" s="54" t="s">
        <v>145</v>
      </c>
      <c r="G12" s="21" t="s">
        <v>146</v>
      </c>
      <c r="H12" s="53"/>
      <c r="I12" s="71">
        <v>2</v>
      </c>
      <c r="J12" s="72" t="s">
        <v>43</v>
      </c>
      <c r="K12" s="73">
        <f t="shared" si="0"/>
        <v>2</v>
      </c>
      <c r="L12" s="75"/>
      <c r="M12" s="83"/>
    </row>
    <row r="13" ht="25" customHeight="1" spans="1:13">
      <c r="A13" s="180"/>
      <c r="B13" s="42"/>
      <c r="C13" s="43"/>
      <c r="D13" s="15"/>
      <c r="E13" s="15" t="s">
        <v>176</v>
      </c>
      <c r="F13" s="54" t="s">
        <v>177</v>
      </c>
      <c r="G13" s="21" t="s">
        <v>178</v>
      </c>
      <c r="H13" s="53" t="s">
        <v>179</v>
      </c>
      <c r="I13" s="71">
        <v>2</v>
      </c>
      <c r="J13" s="72" t="s">
        <v>43</v>
      </c>
      <c r="K13" s="73">
        <f t="shared" si="0"/>
        <v>2</v>
      </c>
      <c r="L13" s="75"/>
      <c r="M13" s="83"/>
    </row>
    <row r="14" ht="25" customHeight="1" spans="1:13">
      <c r="A14" s="180"/>
      <c r="B14" s="42"/>
      <c r="C14" s="43"/>
      <c r="D14" s="15"/>
      <c r="E14" s="15" t="s">
        <v>180</v>
      </c>
      <c r="F14" s="54" t="s">
        <v>181</v>
      </c>
      <c r="G14" s="21" t="s">
        <v>182</v>
      </c>
      <c r="H14" s="53" t="s">
        <v>183</v>
      </c>
      <c r="I14" s="71">
        <v>3</v>
      </c>
      <c r="J14" s="72" t="s">
        <v>43</v>
      </c>
      <c r="K14" s="73">
        <f t="shared" si="0"/>
        <v>3</v>
      </c>
      <c r="L14" s="75"/>
      <c r="M14" s="83"/>
    </row>
    <row r="15" ht="25" customHeight="1" spans="1:13">
      <c r="A15" s="180"/>
      <c r="B15" s="42"/>
      <c r="C15" s="43"/>
      <c r="D15" s="15"/>
      <c r="E15" s="15" t="s">
        <v>129</v>
      </c>
      <c r="F15" s="54" t="s">
        <v>130</v>
      </c>
      <c r="G15" s="21" t="s">
        <v>131</v>
      </c>
      <c r="H15" s="53" t="s">
        <v>132</v>
      </c>
      <c r="I15" s="71">
        <v>2</v>
      </c>
      <c r="J15" s="72" t="s">
        <v>43</v>
      </c>
      <c r="K15" s="73">
        <f t="shared" si="0"/>
        <v>2</v>
      </c>
      <c r="L15" s="75"/>
      <c r="M15" s="83"/>
    </row>
    <row r="16" ht="25" customHeight="1" spans="1:13">
      <c r="A16" s="180"/>
      <c r="B16" s="42"/>
      <c r="C16" s="43"/>
      <c r="D16" s="15"/>
      <c r="E16" s="15" t="s">
        <v>188</v>
      </c>
      <c r="F16" s="54" t="s">
        <v>189</v>
      </c>
      <c r="G16" s="21" t="s">
        <v>190</v>
      </c>
      <c r="H16" s="53"/>
      <c r="I16" s="71">
        <v>3</v>
      </c>
      <c r="J16" s="72" t="s">
        <v>43</v>
      </c>
      <c r="K16" s="73">
        <f t="shared" si="0"/>
        <v>3</v>
      </c>
      <c r="L16" s="75"/>
      <c r="M16" s="83"/>
    </row>
    <row r="17" ht="25" customHeight="1" spans="1:13">
      <c r="A17" s="180"/>
      <c r="B17" s="42"/>
      <c r="C17" s="43"/>
      <c r="D17" s="15"/>
      <c r="E17" s="15" t="s">
        <v>97</v>
      </c>
      <c r="F17" s="54" t="s">
        <v>98</v>
      </c>
      <c r="G17" s="21" t="s">
        <v>99</v>
      </c>
      <c r="H17" s="53"/>
      <c r="I17" s="71">
        <v>2</v>
      </c>
      <c r="J17" s="72" t="s">
        <v>43</v>
      </c>
      <c r="K17" s="73">
        <f t="shared" si="0"/>
        <v>2</v>
      </c>
      <c r="L17" s="75"/>
      <c r="M17" s="83"/>
    </row>
    <row r="18" ht="25" customHeight="1" spans="1:13">
      <c r="A18" s="180"/>
      <c r="B18" s="42"/>
      <c r="C18" s="43"/>
      <c r="D18" s="15"/>
      <c r="E18" s="15" t="s">
        <v>184</v>
      </c>
      <c r="F18" s="54" t="s">
        <v>185</v>
      </c>
      <c r="G18" s="21" t="s">
        <v>186</v>
      </c>
      <c r="H18" s="53" t="s">
        <v>187</v>
      </c>
      <c r="I18" s="71">
        <v>2</v>
      </c>
      <c r="J18" s="72" t="s">
        <v>43</v>
      </c>
      <c r="K18" s="73">
        <f t="shared" si="0"/>
        <v>2</v>
      </c>
      <c r="L18" s="75"/>
      <c r="M18" s="83"/>
    </row>
    <row r="19" ht="25" customHeight="1" spans="1:13">
      <c r="A19" s="180"/>
      <c r="B19" s="42"/>
      <c r="C19" s="43"/>
      <c r="D19" s="15"/>
      <c r="E19" s="15" t="s">
        <v>100</v>
      </c>
      <c r="F19" s="54" t="s">
        <v>101</v>
      </c>
      <c r="G19" s="21" t="s">
        <v>102</v>
      </c>
      <c r="H19" s="53"/>
      <c r="I19" s="71">
        <v>1</v>
      </c>
      <c r="J19" s="72" t="s">
        <v>43</v>
      </c>
      <c r="K19" s="73">
        <f t="shared" si="0"/>
        <v>1</v>
      </c>
      <c r="L19" s="75"/>
      <c r="M19" s="83"/>
    </row>
    <row r="20" ht="25" customHeight="1" spans="1:12">
      <c r="A20" s="180"/>
      <c r="B20" s="42"/>
      <c r="C20" s="43"/>
      <c r="D20" s="44" t="s">
        <v>244</v>
      </c>
      <c r="E20" s="55" t="s">
        <v>281</v>
      </c>
      <c r="F20" s="54" t="s">
        <v>282</v>
      </c>
      <c r="G20" s="21" t="s">
        <v>283</v>
      </c>
      <c r="H20" s="53"/>
      <c r="I20" s="71">
        <v>3</v>
      </c>
      <c r="J20" s="72" t="s">
        <v>43</v>
      </c>
      <c r="K20" s="75">
        <f t="shared" si="0"/>
        <v>3</v>
      </c>
      <c r="L20" s="76">
        <f>SUM(K20:K34)</f>
        <v>42</v>
      </c>
    </row>
    <row r="21" ht="25" customHeight="1" spans="1:12">
      <c r="A21" s="180"/>
      <c r="B21" s="42"/>
      <c r="C21" s="43"/>
      <c r="D21" s="43"/>
      <c r="E21" s="15"/>
      <c r="F21" s="54" t="s">
        <v>284</v>
      </c>
      <c r="G21" s="21" t="s">
        <v>285</v>
      </c>
      <c r="H21" s="53"/>
      <c r="I21" s="71">
        <v>2</v>
      </c>
      <c r="J21" s="72" t="s">
        <v>43</v>
      </c>
      <c r="K21" s="75">
        <f t="shared" si="0"/>
        <v>2</v>
      </c>
      <c r="L21" s="77"/>
    </row>
    <row r="22" ht="25" customHeight="1" spans="1:12">
      <c r="A22" s="180"/>
      <c r="B22" s="42"/>
      <c r="C22" s="43"/>
      <c r="D22" s="43"/>
      <c r="E22" s="15"/>
      <c r="F22" s="54" t="s">
        <v>286</v>
      </c>
      <c r="G22" s="21" t="s">
        <v>287</v>
      </c>
      <c r="H22" s="53"/>
      <c r="I22" s="71">
        <v>3</v>
      </c>
      <c r="J22" s="72" t="s">
        <v>43</v>
      </c>
      <c r="K22" s="75">
        <f t="shared" si="0"/>
        <v>3</v>
      </c>
      <c r="L22" s="77"/>
    </row>
    <row r="23" ht="25" customHeight="1" spans="1:12">
      <c r="A23" s="180"/>
      <c r="B23" s="42"/>
      <c r="C23" s="43"/>
      <c r="D23" s="43"/>
      <c r="E23" s="55" t="s">
        <v>262</v>
      </c>
      <c r="F23" s="54" t="s">
        <v>263</v>
      </c>
      <c r="G23" s="21" t="s">
        <v>264</v>
      </c>
      <c r="H23" s="53"/>
      <c r="I23" s="71">
        <v>2</v>
      </c>
      <c r="J23" s="72" t="s">
        <v>43</v>
      </c>
      <c r="K23" s="75">
        <f t="shared" si="0"/>
        <v>2</v>
      </c>
      <c r="L23" s="77"/>
    </row>
    <row r="24" ht="25" customHeight="1" spans="1:12">
      <c r="A24" s="180"/>
      <c r="B24" s="42"/>
      <c r="C24" s="43"/>
      <c r="D24" s="43"/>
      <c r="E24" s="15"/>
      <c r="F24" s="54" t="s">
        <v>265</v>
      </c>
      <c r="G24" s="21" t="s">
        <v>266</v>
      </c>
      <c r="H24" s="53"/>
      <c r="I24" s="71">
        <v>2</v>
      </c>
      <c r="J24" s="72" t="s">
        <v>43</v>
      </c>
      <c r="K24" s="75">
        <f t="shared" si="0"/>
        <v>2</v>
      </c>
      <c r="L24" s="77"/>
    </row>
    <row r="25" ht="25" customHeight="1" spans="1:12">
      <c r="A25" s="180"/>
      <c r="B25" s="42"/>
      <c r="C25" s="43"/>
      <c r="D25" s="43"/>
      <c r="E25" s="15"/>
      <c r="F25" s="54" t="s">
        <v>267</v>
      </c>
      <c r="G25" s="21" t="s">
        <v>268</v>
      </c>
      <c r="H25" s="53"/>
      <c r="I25" s="71">
        <v>3</v>
      </c>
      <c r="J25" s="72" t="s">
        <v>43</v>
      </c>
      <c r="K25" s="75">
        <f t="shared" si="0"/>
        <v>3</v>
      </c>
      <c r="L25" s="77"/>
    </row>
    <row r="26" ht="25" customHeight="1" spans="1:12">
      <c r="A26" s="180"/>
      <c r="B26" s="42"/>
      <c r="C26" s="43"/>
      <c r="D26" s="43"/>
      <c r="E26" s="15"/>
      <c r="F26" s="54" t="s">
        <v>269</v>
      </c>
      <c r="G26" s="21" t="s">
        <v>270</v>
      </c>
      <c r="H26" s="53"/>
      <c r="I26" s="71">
        <v>2</v>
      </c>
      <c r="J26" s="72" t="s">
        <v>43</v>
      </c>
      <c r="K26" s="75">
        <f t="shared" si="0"/>
        <v>2</v>
      </c>
      <c r="L26" s="77"/>
    </row>
    <row r="27" ht="25" customHeight="1" spans="1:12">
      <c r="A27" s="180"/>
      <c r="B27" s="42"/>
      <c r="C27" s="43"/>
      <c r="D27" s="43"/>
      <c r="E27" s="15"/>
      <c r="F27" s="54" t="s">
        <v>271</v>
      </c>
      <c r="G27" s="21" t="s">
        <v>272</v>
      </c>
      <c r="H27" s="53" t="s">
        <v>255</v>
      </c>
      <c r="I27" s="71">
        <v>3</v>
      </c>
      <c r="J27" s="72" t="s">
        <v>43</v>
      </c>
      <c r="K27" s="75">
        <f t="shared" si="0"/>
        <v>3</v>
      </c>
      <c r="L27" s="77"/>
    </row>
    <row r="28" ht="25" customHeight="1" spans="1:12">
      <c r="A28" s="180"/>
      <c r="B28" s="42"/>
      <c r="C28" s="43"/>
      <c r="D28" s="43"/>
      <c r="E28" s="55" t="s">
        <v>245</v>
      </c>
      <c r="F28" s="54" t="s">
        <v>246</v>
      </c>
      <c r="G28" s="21" t="s">
        <v>247</v>
      </c>
      <c r="H28" s="53"/>
      <c r="I28" s="71">
        <v>2</v>
      </c>
      <c r="J28" s="72" t="s">
        <v>43</v>
      </c>
      <c r="K28" s="75">
        <f t="shared" si="0"/>
        <v>2</v>
      </c>
      <c r="L28" s="77"/>
    </row>
    <row r="29" ht="25" customHeight="1" spans="1:12">
      <c r="A29" s="180"/>
      <c r="B29" s="42"/>
      <c r="C29" s="43"/>
      <c r="D29" s="43"/>
      <c r="E29" s="15"/>
      <c r="F29" s="54" t="s">
        <v>248</v>
      </c>
      <c r="G29" s="21" t="s">
        <v>249</v>
      </c>
      <c r="H29" s="53"/>
      <c r="I29" s="71">
        <v>3</v>
      </c>
      <c r="J29" s="72" t="s">
        <v>43</v>
      </c>
      <c r="K29" s="75">
        <f t="shared" si="0"/>
        <v>3</v>
      </c>
      <c r="L29" s="77"/>
    </row>
    <row r="30" ht="25" customHeight="1" spans="1:12">
      <c r="A30" s="180"/>
      <c r="B30" s="42"/>
      <c r="C30" s="43"/>
      <c r="D30" s="43"/>
      <c r="E30" s="15"/>
      <c r="F30" s="54" t="s">
        <v>250</v>
      </c>
      <c r="G30" s="21" t="s">
        <v>251</v>
      </c>
      <c r="H30" s="53" t="s">
        <v>252</v>
      </c>
      <c r="I30" s="71">
        <v>3</v>
      </c>
      <c r="J30" s="72" t="s">
        <v>43</v>
      </c>
      <c r="K30" s="75">
        <f t="shared" si="0"/>
        <v>3</v>
      </c>
      <c r="L30" s="77"/>
    </row>
    <row r="31" ht="25" customHeight="1" spans="1:12">
      <c r="A31" s="180"/>
      <c r="B31" s="42"/>
      <c r="C31" s="43"/>
      <c r="D31" s="43"/>
      <c r="E31" s="15"/>
      <c r="F31" s="54" t="s">
        <v>253</v>
      </c>
      <c r="G31" s="21" t="s">
        <v>254</v>
      </c>
      <c r="H31" s="53" t="s">
        <v>255</v>
      </c>
      <c r="I31" s="71">
        <v>3</v>
      </c>
      <c r="J31" s="72" t="s">
        <v>43</v>
      </c>
      <c r="K31" s="75">
        <f t="shared" si="0"/>
        <v>3</v>
      </c>
      <c r="L31" s="77"/>
    </row>
    <row r="32" ht="25" customHeight="1" spans="1:12">
      <c r="A32" s="180"/>
      <c r="B32" s="42"/>
      <c r="C32" s="43"/>
      <c r="D32" s="43"/>
      <c r="E32" s="15" t="s">
        <v>297</v>
      </c>
      <c r="F32" s="54" t="s">
        <v>742</v>
      </c>
      <c r="G32" s="21" t="s">
        <v>299</v>
      </c>
      <c r="H32" s="53"/>
      <c r="I32" s="71">
        <v>3</v>
      </c>
      <c r="J32" s="72" t="s">
        <v>43</v>
      </c>
      <c r="K32" s="75">
        <f t="shared" si="0"/>
        <v>3</v>
      </c>
      <c r="L32" s="77"/>
    </row>
    <row r="33" ht="25" customHeight="1" spans="1:12">
      <c r="A33" s="180"/>
      <c r="B33" s="42"/>
      <c r="C33" s="43"/>
      <c r="D33" s="43"/>
      <c r="E33" s="15" t="s">
        <v>295</v>
      </c>
      <c r="F33" s="54" t="s">
        <v>295</v>
      </c>
      <c r="G33" s="21" t="s">
        <v>296</v>
      </c>
      <c r="H33" s="53"/>
      <c r="I33" s="71">
        <v>3</v>
      </c>
      <c r="J33" s="72" t="s">
        <v>43</v>
      </c>
      <c r="K33" s="75">
        <f t="shared" si="0"/>
        <v>3</v>
      </c>
      <c r="L33" s="77"/>
    </row>
    <row r="34" ht="25" customHeight="1" spans="1:12">
      <c r="A34" s="180"/>
      <c r="B34" s="42"/>
      <c r="C34" s="43"/>
      <c r="D34" s="45"/>
      <c r="E34" s="15" t="s">
        <v>291</v>
      </c>
      <c r="F34" s="54" t="s">
        <v>292</v>
      </c>
      <c r="G34" s="21" t="s">
        <v>293</v>
      </c>
      <c r="H34" s="53" t="s">
        <v>294</v>
      </c>
      <c r="I34" s="71">
        <v>5</v>
      </c>
      <c r="J34" s="72" t="s">
        <v>43</v>
      </c>
      <c r="K34" s="75">
        <f t="shared" si="0"/>
        <v>5</v>
      </c>
      <c r="L34" s="77"/>
    </row>
    <row r="35" ht="25" customHeight="1" spans="1:12">
      <c r="A35" s="180"/>
      <c r="B35" s="42"/>
      <c r="C35" s="43"/>
      <c r="D35" s="44" t="s">
        <v>332</v>
      </c>
      <c r="E35" s="15" t="s">
        <v>333</v>
      </c>
      <c r="F35" s="54" t="s">
        <v>334</v>
      </c>
      <c r="G35" s="21" t="s">
        <v>335</v>
      </c>
      <c r="H35" s="53" t="s">
        <v>336</v>
      </c>
      <c r="I35" s="48">
        <v>7</v>
      </c>
      <c r="J35" s="72" t="s">
        <v>43</v>
      </c>
      <c r="K35" s="75">
        <f t="shared" si="0"/>
        <v>7</v>
      </c>
      <c r="L35" s="78">
        <f>SUM(K35:K46)</f>
        <v>84</v>
      </c>
    </row>
    <row r="36" ht="25" customHeight="1" spans="1:12">
      <c r="A36" s="180"/>
      <c r="B36" s="42"/>
      <c r="C36" s="43"/>
      <c r="D36" s="43"/>
      <c r="E36" s="55" t="s">
        <v>338</v>
      </c>
      <c r="F36" s="54" t="s">
        <v>338</v>
      </c>
      <c r="G36" s="21" t="s">
        <v>339</v>
      </c>
      <c r="H36" s="53" t="s">
        <v>340</v>
      </c>
      <c r="I36" s="48">
        <v>2</v>
      </c>
      <c r="J36" s="72" t="s">
        <v>43</v>
      </c>
      <c r="K36" s="75">
        <f t="shared" si="0"/>
        <v>2</v>
      </c>
      <c r="L36" s="77"/>
    </row>
    <row r="37" ht="25" customHeight="1" spans="1:12">
      <c r="A37" s="180"/>
      <c r="B37" s="42"/>
      <c r="C37" s="43"/>
      <c r="D37" s="43"/>
      <c r="E37" s="15"/>
      <c r="F37" s="54" t="s">
        <v>342</v>
      </c>
      <c r="G37" s="21" t="s">
        <v>343</v>
      </c>
      <c r="H37" s="53" t="s">
        <v>344</v>
      </c>
      <c r="I37" s="48">
        <v>2</v>
      </c>
      <c r="J37" s="72" t="s">
        <v>43</v>
      </c>
      <c r="K37" s="75">
        <f t="shared" si="0"/>
        <v>2</v>
      </c>
      <c r="L37" s="77"/>
    </row>
    <row r="38" ht="25" customHeight="1" spans="1:12">
      <c r="A38" s="180"/>
      <c r="B38" s="42"/>
      <c r="C38" s="43"/>
      <c r="D38" s="43"/>
      <c r="E38" s="15" t="s">
        <v>346</v>
      </c>
      <c r="F38" s="54" t="s">
        <v>347</v>
      </c>
      <c r="G38" s="21" t="s">
        <v>348</v>
      </c>
      <c r="H38" s="53" t="s">
        <v>349</v>
      </c>
      <c r="I38" s="48">
        <v>12</v>
      </c>
      <c r="J38" s="72" t="s">
        <v>43</v>
      </c>
      <c r="K38" s="75">
        <f t="shared" si="0"/>
        <v>12</v>
      </c>
      <c r="L38" s="77"/>
    </row>
    <row r="39" ht="25" customHeight="1" spans="1:12">
      <c r="A39" s="180"/>
      <c r="B39" s="42"/>
      <c r="C39" s="43"/>
      <c r="D39" s="43"/>
      <c r="E39" s="15" t="s">
        <v>353</v>
      </c>
      <c r="F39" s="54" t="s">
        <v>354</v>
      </c>
      <c r="G39" s="21" t="s">
        <v>355</v>
      </c>
      <c r="H39" s="53" t="s">
        <v>356</v>
      </c>
      <c r="I39" s="48">
        <v>8</v>
      </c>
      <c r="J39" s="72" t="s">
        <v>43</v>
      </c>
      <c r="K39" s="75">
        <f t="shared" si="0"/>
        <v>8</v>
      </c>
      <c r="L39" s="77"/>
    </row>
    <row r="40" ht="25" customHeight="1" spans="1:12">
      <c r="A40" s="180"/>
      <c r="B40" s="42"/>
      <c r="C40" s="43"/>
      <c r="D40" s="43"/>
      <c r="E40" s="55" t="s">
        <v>367</v>
      </c>
      <c r="F40" s="54" t="s">
        <v>368</v>
      </c>
      <c r="G40" s="21" t="s">
        <v>369</v>
      </c>
      <c r="H40" s="53" t="s">
        <v>370</v>
      </c>
      <c r="I40" s="48">
        <v>15</v>
      </c>
      <c r="J40" s="72" t="s">
        <v>43</v>
      </c>
      <c r="K40" s="75">
        <f t="shared" si="0"/>
        <v>15</v>
      </c>
      <c r="L40" s="77"/>
    </row>
    <row r="41" ht="25" customHeight="1" spans="1:12">
      <c r="A41" s="180"/>
      <c r="B41" s="42"/>
      <c r="C41" s="43"/>
      <c r="D41" s="43"/>
      <c r="E41" s="15"/>
      <c r="F41" s="54" t="s">
        <v>372</v>
      </c>
      <c r="G41" s="21" t="s">
        <v>373</v>
      </c>
      <c r="H41" s="53" t="s">
        <v>374</v>
      </c>
      <c r="I41" s="48">
        <v>1</v>
      </c>
      <c r="J41" s="72" t="s">
        <v>43</v>
      </c>
      <c r="K41" s="75">
        <f t="shared" si="0"/>
        <v>1</v>
      </c>
      <c r="L41" s="77"/>
    </row>
    <row r="42" ht="25" customHeight="1" spans="1:12">
      <c r="A42" s="180"/>
      <c r="B42" s="42"/>
      <c r="C42" s="43"/>
      <c r="D42" s="43"/>
      <c r="E42" s="15" t="s">
        <v>358</v>
      </c>
      <c r="F42" s="54" t="s">
        <v>359</v>
      </c>
      <c r="G42" s="21" t="s">
        <v>360</v>
      </c>
      <c r="H42" s="53" t="s">
        <v>361</v>
      </c>
      <c r="I42" s="48">
        <v>2</v>
      </c>
      <c r="J42" s="72" t="s">
        <v>43</v>
      </c>
      <c r="K42" s="75">
        <f t="shared" si="0"/>
        <v>2</v>
      </c>
      <c r="L42" s="77"/>
    </row>
    <row r="43" ht="25" customHeight="1" spans="1:12">
      <c r="A43" s="180"/>
      <c r="B43" s="42"/>
      <c r="C43" s="43"/>
      <c r="D43" s="43"/>
      <c r="E43" s="15" t="s">
        <v>363</v>
      </c>
      <c r="F43" s="54" t="s">
        <v>364</v>
      </c>
      <c r="G43" s="21" t="s">
        <v>365</v>
      </c>
      <c r="H43" s="53" t="s">
        <v>366</v>
      </c>
      <c r="I43" s="48">
        <v>6</v>
      </c>
      <c r="J43" s="72" t="s">
        <v>43</v>
      </c>
      <c r="K43" s="75">
        <f t="shared" si="0"/>
        <v>6</v>
      </c>
      <c r="L43" s="77"/>
    </row>
    <row r="44" ht="25" customHeight="1" spans="1:12">
      <c r="A44" s="180"/>
      <c r="B44" s="42"/>
      <c r="C44" s="43"/>
      <c r="D44" s="43"/>
      <c r="E44" s="15" t="s">
        <v>195</v>
      </c>
      <c r="F44" s="54" t="s">
        <v>196</v>
      </c>
      <c r="G44" s="21" t="s">
        <v>197</v>
      </c>
      <c r="H44" s="53"/>
      <c r="I44" s="48">
        <v>10</v>
      </c>
      <c r="J44" s="72" t="s">
        <v>43</v>
      </c>
      <c r="K44" s="75">
        <f t="shared" si="0"/>
        <v>10</v>
      </c>
      <c r="L44" s="77"/>
    </row>
    <row r="45" ht="25" customHeight="1" spans="1:12">
      <c r="A45" s="180"/>
      <c r="B45" s="42"/>
      <c r="C45" s="43"/>
      <c r="D45" s="43"/>
      <c r="E45" s="15" t="s">
        <v>203</v>
      </c>
      <c r="F45" s="54" t="s">
        <v>204</v>
      </c>
      <c r="G45" s="21" t="s">
        <v>205</v>
      </c>
      <c r="H45" s="53"/>
      <c r="I45" s="48">
        <v>16</v>
      </c>
      <c r="J45" s="72" t="s">
        <v>43</v>
      </c>
      <c r="K45" s="75">
        <f t="shared" si="0"/>
        <v>16</v>
      </c>
      <c r="L45" s="77"/>
    </row>
    <row r="46" ht="25" customHeight="1" spans="1:12">
      <c r="A46" s="180"/>
      <c r="B46" s="42"/>
      <c r="C46" s="43"/>
      <c r="D46" s="45"/>
      <c r="E46" s="15" t="s">
        <v>198</v>
      </c>
      <c r="F46" s="54" t="s">
        <v>199</v>
      </c>
      <c r="G46" s="21" t="s">
        <v>200</v>
      </c>
      <c r="H46" s="53"/>
      <c r="I46" s="48">
        <v>3</v>
      </c>
      <c r="J46" s="72" t="s">
        <v>43</v>
      </c>
      <c r="K46" s="75">
        <f t="shared" si="0"/>
        <v>3</v>
      </c>
      <c r="L46" s="79"/>
    </row>
    <row r="47" ht="25" customHeight="1" spans="1:12">
      <c r="A47" s="180"/>
      <c r="B47" s="42"/>
      <c r="C47" s="43"/>
      <c r="D47" s="44" t="s">
        <v>378</v>
      </c>
      <c r="E47" s="55" t="s">
        <v>379</v>
      </c>
      <c r="F47" s="54" t="s">
        <v>380</v>
      </c>
      <c r="G47" s="21" t="s">
        <v>381</v>
      </c>
      <c r="H47" s="53" t="s">
        <v>382</v>
      </c>
      <c r="I47" s="48">
        <v>1</v>
      </c>
      <c r="J47" s="72" t="s">
        <v>43</v>
      </c>
      <c r="K47" s="75">
        <f t="shared" si="0"/>
        <v>1</v>
      </c>
      <c r="L47" s="74">
        <f>SUM(K47:K54)</f>
        <v>6</v>
      </c>
    </row>
    <row r="48" ht="25" customHeight="1" spans="1:12">
      <c r="A48" s="180"/>
      <c r="B48" s="42"/>
      <c r="C48" s="43"/>
      <c r="D48" s="43"/>
      <c r="E48" s="15"/>
      <c r="F48" s="54" t="s">
        <v>383</v>
      </c>
      <c r="G48" s="21" t="s">
        <v>384</v>
      </c>
      <c r="H48" s="53"/>
      <c r="I48" s="48">
        <v>1</v>
      </c>
      <c r="J48" s="72" t="s">
        <v>43</v>
      </c>
      <c r="K48" s="75">
        <f t="shared" si="0"/>
        <v>1</v>
      </c>
      <c r="L48" s="75"/>
    </row>
    <row r="49" ht="25" customHeight="1" spans="1:12">
      <c r="A49" s="180"/>
      <c r="B49" s="42"/>
      <c r="C49" s="43"/>
      <c r="D49" s="43"/>
      <c r="E49" s="15"/>
      <c r="F49" s="54" t="s">
        <v>386</v>
      </c>
      <c r="G49" s="21" t="s">
        <v>387</v>
      </c>
      <c r="H49" s="53"/>
      <c r="I49" s="48">
        <v>1</v>
      </c>
      <c r="J49" s="72" t="s">
        <v>43</v>
      </c>
      <c r="K49" s="75">
        <f t="shared" si="0"/>
        <v>1</v>
      </c>
      <c r="L49" s="75"/>
    </row>
    <row r="50" ht="25" customHeight="1" spans="1:12">
      <c r="A50" s="180"/>
      <c r="B50" s="42"/>
      <c r="C50" s="43"/>
      <c r="D50" s="43"/>
      <c r="E50" s="15"/>
      <c r="F50" s="54" t="s">
        <v>388</v>
      </c>
      <c r="G50" s="21" t="s">
        <v>389</v>
      </c>
      <c r="H50" s="53"/>
      <c r="I50" s="48">
        <v>1</v>
      </c>
      <c r="J50" s="72" t="s">
        <v>43</v>
      </c>
      <c r="K50" s="75">
        <f t="shared" si="0"/>
        <v>1</v>
      </c>
      <c r="L50" s="75"/>
    </row>
    <row r="51" ht="25" customHeight="1" spans="1:12">
      <c r="A51" s="180"/>
      <c r="B51" s="42"/>
      <c r="C51" s="43"/>
      <c r="D51" s="43"/>
      <c r="E51" s="15"/>
      <c r="F51" s="54" t="s">
        <v>390</v>
      </c>
      <c r="G51" s="21" t="s">
        <v>391</v>
      </c>
      <c r="H51" s="53"/>
      <c r="I51" s="48">
        <v>1</v>
      </c>
      <c r="J51" s="72" t="s">
        <v>43</v>
      </c>
      <c r="K51" s="75">
        <f t="shared" si="0"/>
        <v>1</v>
      </c>
      <c r="L51" s="75"/>
    </row>
    <row r="52" ht="25" customHeight="1" spans="1:12">
      <c r="A52" s="180"/>
      <c r="B52" s="42"/>
      <c r="C52" s="43"/>
      <c r="D52" s="43"/>
      <c r="E52" s="15"/>
      <c r="F52" s="54" t="s">
        <v>392</v>
      </c>
      <c r="G52" s="21" t="s">
        <v>393</v>
      </c>
      <c r="H52" s="53"/>
      <c r="I52" s="48">
        <v>0</v>
      </c>
      <c r="J52" s="72" t="s">
        <v>43</v>
      </c>
      <c r="K52" s="75">
        <f t="shared" si="0"/>
        <v>0</v>
      </c>
      <c r="L52" s="75"/>
    </row>
    <row r="53" ht="25" customHeight="1" spans="1:12">
      <c r="A53" s="180"/>
      <c r="B53" s="42"/>
      <c r="C53" s="43"/>
      <c r="D53" s="43"/>
      <c r="E53" s="15"/>
      <c r="F53" s="54" t="s">
        <v>395</v>
      </c>
      <c r="G53" s="21" t="s">
        <v>396</v>
      </c>
      <c r="H53" s="53"/>
      <c r="I53" s="48">
        <v>0</v>
      </c>
      <c r="J53" s="72" t="s">
        <v>43</v>
      </c>
      <c r="K53" s="75">
        <f t="shared" si="0"/>
        <v>0</v>
      </c>
      <c r="L53" s="75"/>
    </row>
    <row r="54" ht="25" customHeight="1" spans="1:12">
      <c r="A54" s="180"/>
      <c r="B54" s="42"/>
      <c r="C54" s="43"/>
      <c r="D54" s="45"/>
      <c r="E54" s="15" t="s">
        <v>398</v>
      </c>
      <c r="F54" s="54" t="s">
        <v>398</v>
      </c>
      <c r="G54" s="21" t="s">
        <v>399</v>
      </c>
      <c r="H54" s="53"/>
      <c r="I54" s="48">
        <v>1</v>
      </c>
      <c r="J54" s="72" t="s">
        <v>43</v>
      </c>
      <c r="K54" s="75">
        <f t="shared" si="0"/>
        <v>1</v>
      </c>
      <c r="L54" s="75"/>
    </row>
    <row r="55" ht="25" customHeight="1" spans="1:13">
      <c r="A55" s="181"/>
      <c r="B55" s="42"/>
      <c r="C55" s="43"/>
      <c r="D55" s="47" t="s">
        <v>743</v>
      </c>
      <c r="E55" s="52" t="s">
        <v>112</v>
      </c>
      <c r="F55" s="54" t="s">
        <v>113</v>
      </c>
      <c r="G55" s="56" t="s">
        <v>114</v>
      </c>
      <c r="H55" s="57" t="s">
        <v>115</v>
      </c>
      <c r="I55" s="80">
        <v>1</v>
      </c>
      <c r="J55" s="72" t="s">
        <v>43</v>
      </c>
      <c r="K55" s="75">
        <f t="shared" si="0"/>
        <v>1</v>
      </c>
      <c r="L55" s="78">
        <f>SUM(K55:K69)</f>
        <v>85</v>
      </c>
      <c r="M55" s="84"/>
    </row>
    <row r="56" ht="25" customHeight="1" spans="1:13">
      <c r="A56" s="181"/>
      <c r="B56" s="42"/>
      <c r="C56" s="43"/>
      <c r="D56" s="48"/>
      <c r="E56" s="52" t="s">
        <v>133</v>
      </c>
      <c r="F56" s="54" t="s">
        <v>134</v>
      </c>
      <c r="G56" s="56" t="s">
        <v>135</v>
      </c>
      <c r="H56" s="57" t="s">
        <v>136</v>
      </c>
      <c r="I56" s="80">
        <v>8</v>
      </c>
      <c r="J56" s="72" t="s">
        <v>43</v>
      </c>
      <c r="K56" s="75">
        <f t="shared" si="0"/>
        <v>8</v>
      </c>
      <c r="L56" s="77"/>
      <c r="M56" s="84"/>
    </row>
    <row r="57" ht="25" customHeight="1" spans="1:13">
      <c r="A57" s="181"/>
      <c r="B57" s="42"/>
      <c r="C57" s="43"/>
      <c r="D57" s="48"/>
      <c r="E57" s="52" t="s">
        <v>137</v>
      </c>
      <c r="F57" s="58" t="s">
        <v>138</v>
      </c>
      <c r="G57" s="59" t="s">
        <v>139</v>
      </c>
      <c r="H57" s="60"/>
      <c r="I57" s="81">
        <v>2</v>
      </c>
      <c r="J57" s="72" t="s">
        <v>43</v>
      </c>
      <c r="K57" s="75">
        <f t="shared" si="0"/>
        <v>2</v>
      </c>
      <c r="L57" s="77"/>
      <c r="M57" s="84"/>
    </row>
    <row r="58" ht="25" customHeight="1" spans="1:13">
      <c r="A58" s="181"/>
      <c r="B58" s="42"/>
      <c r="C58" s="43"/>
      <c r="D58" s="48"/>
      <c r="E58" s="52" t="s">
        <v>147</v>
      </c>
      <c r="F58" s="54" t="s">
        <v>148</v>
      </c>
      <c r="G58" s="56" t="s">
        <v>149</v>
      </c>
      <c r="H58" s="57" t="s">
        <v>150</v>
      </c>
      <c r="I58" s="80">
        <v>3</v>
      </c>
      <c r="J58" s="72" t="s">
        <v>43</v>
      </c>
      <c r="K58" s="75">
        <f t="shared" si="0"/>
        <v>3</v>
      </c>
      <c r="L58" s="77"/>
      <c r="M58" s="84"/>
    </row>
    <row r="59" ht="25" customHeight="1" spans="1:13">
      <c r="A59" s="181"/>
      <c r="B59" s="42"/>
      <c r="C59" s="43"/>
      <c r="D59" s="48"/>
      <c r="E59" s="52" t="s">
        <v>657</v>
      </c>
      <c r="F59" s="54" t="s">
        <v>658</v>
      </c>
      <c r="G59" s="56" t="s">
        <v>659</v>
      </c>
      <c r="H59" s="57"/>
      <c r="I59" s="80">
        <v>2</v>
      </c>
      <c r="J59" s="72" t="s">
        <v>43</v>
      </c>
      <c r="K59" s="75">
        <f t="shared" si="0"/>
        <v>2</v>
      </c>
      <c r="L59" s="77"/>
      <c r="M59" s="84"/>
    </row>
    <row r="60" ht="25" customHeight="1" spans="1:13">
      <c r="A60" s="181"/>
      <c r="B60" s="42"/>
      <c r="C60" s="43"/>
      <c r="D60" s="48"/>
      <c r="E60" s="88" t="s">
        <v>660</v>
      </c>
      <c r="F60" s="48" t="s">
        <v>660</v>
      </c>
      <c r="G60" s="56" t="s">
        <v>661</v>
      </c>
      <c r="H60" s="57"/>
      <c r="I60" s="80">
        <v>4</v>
      </c>
      <c r="J60" s="72" t="s">
        <v>43</v>
      </c>
      <c r="K60" s="75">
        <f t="shared" si="0"/>
        <v>4</v>
      </c>
      <c r="L60" s="77"/>
      <c r="M60" s="84"/>
    </row>
    <row r="61" ht="25" customHeight="1" spans="1:13">
      <c r="A61" s="181"/>
      <c r="B61" s="42"/>
      <c r="C61" s="43"/>
      <c r="D61" s="48"/>
      <c r="E61" s="52" t="s">
        <v>116</v>
      </c>
      <c r="F61" s="54" t="s">
        <v>117</v>
      </c>
      <c r="G61" s="56" t="s">
        <v>118</v>
      </c>
      <c r="H61" s="57"/>
      <c r="I61" s="80">
        <v>5</v>
      </c>
      <c r="J61" s="72" t="s">
        <v>43</v>
      </c>
      <c r="K61" s="75">
        <f t="shared" si="0"/>
        <v>5</v>
      </c>
      <c r="L61" s="77"/>
      <c r="M61" s="84"/>
    </row>
    <row r="62" ht="25" customHeight="1" spans="1:13">
      <c r="A62" s="181"/>
      <c r="B62" s="42"/>
      <c r="C62" s="43"/>
      <c r="D62" s="48"/>
      <c r="E62" s="52" t="s">
        <v>222</v>
      </c>
      <c r="F62" s="54" t="s">
        <v>223</v>
      </c>
      <c r="G62" s="56" t="s">
        <v>224</v>
      </c>
      <c r="H62" s="57"/>
      <c r="I62" s="80">
        <v>8</v>
      </c>
      <c r="J62" s="72" t="s">
        <v>43</v>
      </c>
      <c r="K62" s="75">
        <f t="shared" si="0"/>
        <v>8</v>
      </c>
      <c r="L62" s="77"/>
      <c r="M62" s="84"/>
    </row>
    <row r="63" ht="25" customHeight="1" spans="1:13">
      <c r="A63" s="181"/>
      <c r="B63" s="42"/>
      <c r="C63" s="43"/>
      <c r="D63" s="48"/>
      <c r="E63" s="52" t="s">
        <v>208</v>
      </c>
      <c r="F63" s="54" t="s">
        <v>209</v>
      </c>
      <c r="G63" s="56" t="s">
        <v>210</v>
      </c>
      <c r="H63" s="57"/>
      <c r="I63" s="80">
        <v>10</v>
      </c>
      <c r="J63" s="72" t="s">
        <v>43</v>
      </c>
      <c r="K63" s="75">
        <f t="shared" si="0"/>
        <v>10</v>
      </c>
      <c r="L63" s="77"/>
      <c r="M63" s="84"/>
    </row>
    <row r="64" ht="25" customHeight="1" spans="1:13">
      <c r="A64" s="181"/>
      <c r="B64" s="42"/>
      <c r="C64" s="43"/>
      <c r="D64" s="48"/>
      <c r="E64" s="52" t="s">
        <v>211</v>
      </c>
      <c r="F64" s="54" t="s">
        <v>212</v>
      </c>
      <c r="G64" s="56" t="s">
        <v>213</v>
      </c>
      <c r="H64" s="57"/>
      <c r="I64" s="80">
        <v>15</v>
      </c>
      <c r="J64" s="72" t="s">
        <v>43</v>
      </c>
      <c r="K64" s="75">
        <f t="shared" si="0"/>
        <v>15</v>
      </c>
      <c r="L64" s="77"/>
      <c r="M64" s="84"/>
    </row>
    <row r="65" ht="25" customHeight="1" spans="1:13">
      <c r="A65" s="181"/>
      <c r="B65" s="42"/>
      <c r="C65" s="43"/>
      <c r="D65" s="48"/>
      <c r="E65" s="52" t="s">
        <v>229</v>
      </c>
      <c r="F65" s="48" t="s">
        <v>230</v>
      </c>
      <c r="G65" s="56" t="s">
        <v>231</v>
      </c>
      <c r="H65" s="57"/>
      <c r="I65" s="80">
        <v>6</v>
      </c>
      <c r="J65" s="72" t="s">
        <v>43</v>
      </c>
      <c r="K65" s="75">
        <f t="shared" si="0"/>
        <v>6</v>
      </c>
      <c r="L65" s="77"/>
      <c r="M65" s="84"/>
    </row>
    <row r="66" ht="25" customHeight="1" spans="1:13">
      <c r="A66" s="181"/>
      <c r="B66" s="42"/>
      <c r="C66" s="43"/>
      <c r="D66" s="48"/>
      <c r="E66" s="52" t="s">
        <v>191</v>
      </c>
      <c r="F66" s="54" t="s">
        <v>192</v>
      </c>
      <c r="G66" s="56" t="s">
        <v>193</v>
      </c>
      <c r="H66" s="57" t="s">
        <v>194</v>
      </c>
      <c r="I66" s="80">
        <v>2</v>
      </c>
      <c r="J66" s="72" t="s">
        <v>43</v>
      </c>
      <c r="K66" s="75">
        <f t="shared" si="0"/>
        <v>2</v>
      </c>
      <c r="L66" s="77"/>
      <c r="M66" s="84"/>
    </row>
    <row r="67" ht="25" customHeight="1" spans="1:13">
      <c r="A67" s="181"/>
      <c r="B67" s="42"/>
      <c r="C67" s="43"/>
      <c r="D67" s="48"/>
      <c r="E67" s="52" t="s">
        <v>214</v>
      </c>
      <c r="F67" s="48" t="s">
        <v>214</v>
      </c>
      <c r="G67" s="21" t="s">
        <v>215</v>
      </c>
      <c r="H67" s="57"/>
      <c r="I67" s="80">
        <v>3</v>
      </c>
      <c r="J67" s="72" t="s">
        <v>43</v>
      </c>
      <c r="K67" s="75">
        <f t="shared" ref="K67:K130" si="1">IF(J67&lt;&gt;0,I67,0)</f>
        <v>3</v>
      </c>
      <c r="L67" s="77"/>
      <c r="M67" s="84"/>
    </row>
    <row r="68" ht="25" customHeight="1" spans="1:13">
      <c r="A68" s="181"/>
      <c r="B68" s="42"/>
      <c r="C68" s="43"/>
      <c r="D68" s="48"/>
      <c r="E68" s="52" t="s">
        <v>225</v>
      </c>
      <c r="F68" s="54" t="s">
        <v>226</v>
      </c>
      <c r="G68" s="56" t="s">
        <v>227</v>
      </c>
      <c r="H68" s="57" t="s">
        <v>228</v>
      </c>
      <c r="I68" s="80">
        <v>8</v>
      </c>
      <c r="J68" s="72" t="s">
        <v>43</v>
      </c>
      <c r="K68" s="75">
        <f t="shared" si="1"/>
        <v>8</v>
      </c>
      <c r="L68" s="77"/>
      <c r="M68" s="84"/>
    </row>
    <row r="69" ht="25" customHeight="1" spans="1:13">
      <c r="A69" s="181"/>
      <c r="B69" s="42"/>
      <c r="C69" s="43"/>
      <c r="D69" s="48"/>
      <c r="E69" s="52" t="s">
        <v>404</v>
      </c>
      <c r="F69" s="54" t="s">
        <v>405</v>
      </c>
      <c r="G69" s="56" t="s">
        <v>406</v>
      </c>
      <c r="H69" s="57" t="s">
        <v>407</v>
      </c>
      <c r="I69" s="80">
        <v>8</v>
      </c>
      <c r="J69" s="72" t="s">
        <v>43</v>
      </c>
      <c r="K69" s="75">
        <f t="shared" si="1"/>
        <v>8</v>
      </c>
      <c r="L69" s="79"/>
      <c r="M69" s="84"/>
    </row>
    <row r="70" ht="25" customHeight="1" spans="1:13">
      <c r="A70" s="181"/>
      <c r="B70" s="42"/>
      <c r="C70" s="43"/>
      <c r="D70" s="38" t="s">
        <v>744</v>
      </c>
      <c r="E70" s="52" t="s">
        <v>259</v>
      </c>
      <c r="F70" s="54" t="s">
        <v>259</v>
      </c>
      <c r="G70" s="56" t="s">
        <v>260</v>
      </c>
      <c r="H70" s="57" t="s">
        <v>261</v>
      </c>
      <c r="I70" s="80">
        <v>6</v>
      </c>
      <c r="J70" s="72" t="s">
        <v>43</v>
      </c>
      <c r="K70" s="75">
        <f t="shared" si="1"/>
        <v>6</v>
      </c>
      <c r="L70" s="78">
        <f>SUM(K70:K91)</f>
        <v>98</v>
      </c>
      <c r="M70" s="84"/>
    </row>
    <row r="71" ht="25" customHeight="1" spans="1:13">
      <c r="A71" s="181"/>
      <c r="B71" s="42"/>
      <c r="C71" s="43"/>
      <c r="D71" s="85"/>
      <c r="E71" s="52" t="s">
        <v>275</v>
      </c>
      <c r="F71" s="54" t="s">
        <v>276</v>
      </c>
      <c r="G71" s="56" t="s">
        <v>277</v>
      </c>
      <c r="H71" s="57"/>
      <c r="I71" s="80">
        <v>2</v>
      </c>
      <c r="J71" s="72" t="s">
        <v>43</v>
      </c>
      <c r="K71" s="75">
        <f t="shared" si="1"/>
        <v>2</v>
      </c>
      <c r="L71" s="77"/>
      <c r="M71" s="84"/>
    </row>
    <row r="72" ht="25" customHeight="1" spans="1:13">
      <c r="A72" s="181"/>
      <c r="B72" s="42"/>
      <c r="C72" s="43"/>
      <c r="D72" s="85"/>
      <c r="E72" s="52" t="s">
        <v>273</v>
      </c>
      <c r="F72" s="54" t="s">
        <v>274</v>
      </c>
      <c r="G72" s="21" t="s">
        <v>274</v>
      </c>
      <c r="H72" s="57"/>
      <c r="I72" s="80">
        <v>1</v>
      </c>
      <c r="J72" s="72" t="s">
        <v>43</v>
      </c>
      <c r="K72" s="75">
        <f t="shared" si="1"/>
        <v>1</v>
      </c>
      <c r="L72" s="77"/>
      <c r="M72" s="84"/>
    </row>
    <row r="73" ht="25" customHeight="1" spans="1:13">
      <c r="A73" s="181"/>
      <c r="B73" s="42"/>
      <c r="C73" s="43"/>
      <c r="D73" s="85"/>
      <c r="E73" s="52" t="s">
        <v>288</v>
      </c>
      <c r="F73" s="54" t="s">
        <v>288</v>
      </c>
      <c r="G73" s="56" t="s">
        <v>289</v>
      </c>
      <c r="H73" s="57" t="s">
        <v>745</v>
      </c>
      <c r="I73" s="80">
        <v>5</v>
      </c>
      <c r="J73" s="72" t="s">
        <v>43</v>
      </c>
      <c r="K73" s="75">
        <f t="shared" si="1"/>
        <v>5</v>
      </c>
      <c r="L73" s="77"/>
      <c r="M73" s="84"/>
    </row>
    <row r="74" ht="25" customHeight="1" spans="1:13">
      <c r="A74" s="181"/>
      <c r="B74" s="42"/>
      <c r="C74" s="43"/>
      <c r="D74" s="85"/>
      <c r="E74" s="52" t="s">
        <v>256</v>
      </c>
      <c r="F74" s="54" t="s">
        <v>257</v>
      </c>
      <c r="G74" s="56" t="s">
        <v>258</v>
      </c>
      <c r="H74" s="89"/>
      <c r="I74" s="80">
        <v>10</v>
      </c>
      <c r="J74" s="72" t="s">
        <v>43</v>
      </c>
      <c r="K74" s="75">
        <f t="shared" si="1"/>
        <v>10</v>
      </c>
      <c r="L74" s="77"/>
      <c r="M74" s="84"/>
    </row>
    <row r="75" ht="25" customHeight="1" spans="1:13">
      <c r="A75" s="181"/>
      <c r="B75" s="42"/>
      <c r="C75" s="43"/>
      <c r="D75" s="85"/>
      <c r="E75" s="52" t="s">
        <v>278</v>
      </c>
      <c r="F75" s="54" t="s">
        <v>278</v>
      </c>
      <c r="G75" s="56" t="s">
        <v>279</v>
      </c>
      <c r="H75" s="57" t="s">
        <v>280</v>
      </c>
      <c r="I75" s="80">
        <v>6</v>
      </c>
      <c r="J75" s="72" t="s">
        <v>43</v>
      </c>
      <c r="K75" s="75">
        <f t="shared" si="1"/>
        <v>6</v>
      </c>
      <c r="L75" s="77"/>
      <c r="M75" s="84"/>
    </row>
    <row r="76" ht="25" customHeight="1" spans="1:13">
      <c r="A76" s="181"/>
      <c r="B76" s="42"/>
      <c r="C76" s="43"/>
      <c r="D76" s="85"/>
      <c r="E76" s="52" t="s">
        <v>402</v>
      </c>
      <c r="F76" s="54" t="s">
        <v>402</v>
      </c>
      <c r="G76" s="56" t="s">
        <v>403</v>
      </c>
      <c r="H76" s="57"/>
      <c r="I76" s="80">
        <v>10</v>
      </c>
      <c r="J76" s="72" t="s">
        <v>43</v>
      </c>
      <c r="K76" s="75">
        <f t="shared" si="1"/>
        <v>10</v>
      </c>
      <c r="L76" s="77"/>
      <c r="M76" s="84"/>
    </row>
    <row r="77" ht="25" customHeight="1" spans="1:13">
      <c r="A77" s="181"/>
      <c r="B77" s="42"/>
      <c r="C77" s="43"/>
      <c r="D77" s="85"/>
      <c r="E77" s="52" t="s">
        <v>619</v>
      </c>
      <c r="F77" s="54" t="s">
        <v>620</v>
      </c>
      <c r="G77" s="56" t="s">
        <v>621</v>
      </c>
      <c r="H77" s="57" t="s">
        <v>622</v>
      </c>
      <c r="I77" s="80">
        <v>10</v>
      </c>
      <c r="J77" s="72" t="s">
        <v>43</v>
      </c>
      <c r="K77" s="75">
        <f t="shared" si="1"/>
        <v>10</v>
      </c>
      <c r="L77" s="77"/>
      <c r="M77" s="84"/>
    </row>
    <row r="78" ht="25" customHeight="1" spans="1:13">
      <c r="A78" s="181"/>
      <c r="B78" s="42"/>
      <c r="C78" s="43"/>
      <c r="D78" s="85"/>
      <c r="E78" s="52" t="s">
        <v>439</v>
      </c>
      <c r="F78" s="54" t="s">
        <v>439</v>
      </c>
      <c r="G78" s="21" t="s">
        <v>746</v>
      </c>
      <c r="H78" s="53" t="s">
        <v>747</v>
      </c>
      <c r="I78" s="80">
        <v>10</v>
      </c>
      <c r="J78" s="72" t="s">
        <v>43</v>
      </c>
      <c r="K78" s="75">
        <f t="shared" si="1"/>
        <v>10</v>
      </c>
      <c r="L78" s="77"/>
      <c r="M78" s="84"/>
    </row>
    <row r="79" ht="25" customHeight="1" spans="1:13">
      <c r="A79" s="181"/>
      <c r="B79" s="42"/>
      <c r="C79" s="43"/>
      <c r="D79" s="85"/>
      <c r="E79" s="38" t="s">
        <v>748</v>
      </c>
      <c r="F79" s="48" t="s">
        <v>301</v>
      </c>
      <c r="G79" s="21" t="s">
        <v>302</v>
      </c>
      <c r="H79" s="53" t="s">
        <v>303</v>
      </c>
      <c r="I79" s="71">
        <v>2</v>
      </c>
      <c r="J79" s="72" t="s">
        <v>43</v>
      </c>
      <c r="K79" s="75">
        <f t="shared" si="1"/>
        <v>2</v>
      </c>
      <c r="L79" s="77"/>
      <c r="M79" s="84"/>
    </row>
    <row r="80" ht="25" customHeight="1" spans="1:13">
      <c r="A80" s="181"/>
      <c r="B80" s="42"/>
      <c r="C80" s="43"/>
      <c r="D80" s="85"/>
      <c r="E80" s="40"/>
      <c r="F80" s="48" t="s">
        <v>305</v>
      </c>
      <c r="G80" s="21" t="s">
        <v>306</v>
      </c>
      <c r="H80" s="57"/>
      <c r="I80" s="71">
        <v>5</v>
      </c>
      <c r="J80" s="72" t="s">
        <v>43</v>
      </c>
      <c r="K80" s="75">
        <f t="shared" si="1"/>
        <v>5</v>
      </c>
      <c r="L80" s="77"/>
      <c r="M80" s="84"/>
    </row>
    <row r="81" ht="25" customHeight="1" spans="1:13">
      <c r="A81" s="181"/>
      <c r="B81" s="42"/>
      <c r="C81" s="43"/>
      <c r="D81" s="85"/>
      <c r="E81" s="40"/>
      <c r="F81" s="48" t="s">
        <v>307</v>
      </c>
      <c r="G81" s="21" t="s">
        <v>308</v>
      </c>
      <c r="H81" s="57"/>
      <c r="I81" s="71">
        <v>5</v>
      </c>
      <c r="J81" s="72" t="s">
        <v>43</v>
      </c>
      <c r="K81" s="75">
        <f t="shared" si="1"/>
        <v>5</v>
      </c>
      <c r="L81" s="77"/>
      <c r="M81" s="84"/>
    </row>
    <row r="82" ht="25" customHeight="1" spans="1:13">
      <c r="A82" s="181"/>
      <c r="B82" s="42"/>
      <c r="C82" s="43"/>
      <c r="D82" s="85"/>
      <c r="E82" s="40"/>
      <c r="F82" s="48" t="s">
        <v>309</v>
      </c>
      <c r="G82" s="21" t="s">
        <v>310</v>
      </c>
      <c r="H82" s="57"/>
      <c r="I82" s="71">
        <v>3</v>
      </c>
      <c r="J82" s="72" t="s">
        <v>43</v>
      </c>
      <c r="K82" s="75">
        <f t="shared" si="1"/>
        <v>3</v>
      </c>
      <c r="L82" s="77"/>
      <c r="M82" s="84"/>
    </row>
    <row r="83" ht="25" customHeight="1" spans="1:13">
      <c r="A83" s="181"/>
      <c r="B83" s="42"/>
      <c r="C83" s="43"/>
      <c r="D83" s="85"/>
      <c r="E83" s="90"/>
      <c r="F83" s="48" t="s">
        <v>311</v>
      </c>
      <c r="G83" s="21" t="s">
        <v>312</v>
      </c>
      <c r="H83" s="57"/>
      <c r="I83" s="71">
        <v>5</v>
      </c>
      <c r="J83" s="72" t="s">
        <v>43</v>
      </c>
      <c r="K83" s="75">
        <f t="shared" si="1"/>
        <v>5</v>
      </c>
      <c r="L83" s="77"/>
      <c r="M83" s="84"/>
    </row>
    <row r="84" ht="25" customHeight="1" spans="1:13">
      <c r="A84" s="181"/>
      <c r="B84" s="42"/>
      <c r="C84" s="43"/>
      <c r="D84" s="85"/>
      <c r="E84" s="38" t="s">
        <v>749</v>
      </c>
      <c r="F84" s="48" t="s">
        <v>314</v>
      </c>
      <c r="G84" s="21" t="s">
        <v>315</v>
      </c>
      <c r="H84" s="57"/>
      <c r="I84" s="71">
        <v>1</v>
      </c>
      <c r="J84" s="72" t="s">
        <v>43</v>
      </c>
      <c r="K84" s="75">
        <f t="shared" si="1"/>
        <v>1</v>
      </c>
      <c r="L84" s="77"/>
      <c r="M84" s="84"/>
    </row>
    <row r="85" ht="25" customHeight="1" spans="1:13">
      <c r="A85" s="181"/>
      <c r="B85" s="42"/>
      <c r="C85" s="43"/>
      <c r="D85" s="85"/>
      <c r="E85" s="40"/>
      <c r="F85" s="48" t="s">
        <v>317</v>
      </c>
      <c r="G85" s="21" t="s">
        <v>318</v>
      </c>
      <c r="H85" s="57"/>
      <c r="I85" s="71">
        <v>3</v>
      </c>
      <c r="J85" s="72" t="s">
        <v>43</v>
      </c>
      <c r="K85" s="75">
        <f t="shared" si="1"/>
        <v>3</v>
      </c>
      <c r="L85" s="77"/>
      <c r="M85" s="84"/>
    </row>
    <row r="86" ht="25" customHeight="1" spans="1:13">
      <c r="A86" s="181"/>
      <c r="B86" s="42"/>
      <c r="C86" s="43"/>
      <c r="D86" s="85"/>
      <c r="E86" s="40"/>
      <c r="F86" s="48" t="s">
        <v>319</v>
      </c>
      <c r="G86" s="21" t="s">
        <v>320</v>
      </c>
      <c r="H86" s="57"/>
      <c r="I86" s="71">
        <v>3</v>
      </c>
      <c r="J86" s="72" t="s">
        <v>43</v>
      </c>
      <c r="K86" s="75">
        <f t="shared" si="1"/>
        <v>3</v>
      </c>
      <c r="L86" s="77"/>
      <c r="M86" s="84"/>
    </row>
    <row r="87" ht="25" customHeight="1" spans="1:13">
      <c r="A87" s="181"/>
      <c r="B87" s="42"/>
      <c r="C87" s="43"/>
      <c r="D87" s="85"/>
      <c r="E87" s="90"/>
      <c r="F87" s="48" t="s">
        <v>321</v>
      </c>
      <c r="G87" s="21" t="s">
        <v>322</v>
      </c>
      <c r="H87" s="57"/>
      <c r="I87" s="71">
        <v>3</v>
      </c>
      <c r="J87" s="72" t="s">
        <v>43</v>
      </c>
      <c r="K87" s="75">
        <f t="shared" si="1"/>
        <v>3</v>
      </c>
      <c r="L87" s="77"/>
      <c r="M87" s="84"/>
    </row>
    <row r="88" ht="25" customHeight="1" spans="1:13">
      <c r="A88" s="181"/>
      <c r="B88" s="42"/>
      <c r="C88" s="43"/>
      <c r="D88" s="85"/>
      <c r="E88" s="91" t="s">
        <v>323</v>
      </c>
      <c r="F88" s="48" t="s">
        <v>314</v>
      </c>
      <c r="G88" s="21" t="s">
        <v>324</v>
      </c>
      <c r="H88" s="57"/>
      <c r="I88" s="71">
        <v>2</v>
      </c>
      <c r="J88" s="72" t="s">
        <v>43</v>
      </c>
      <c r="K88" s="75">
        <f t="shared" si="1"/>
        <v>2</v>
      </c>
      <c r="L88" s="77"/>
      <c r="M88" s="84"/>
    </row>
    <row r="89" ht="25" customHeight="1" spans="1:13">
      <c r="A89" s="181"/>
      <c r="B89" s="42"/>
      <c r="C89" s="43"/>
      <c r="D89" s="85"/>
      <c r="E89" s="40"/>
      <c r="F89" s="48" t="s">
        <v>326</v>
      </c>
      <c r="G89" s="21" t="s">
        <v>327</v>
      </c>
      <c r="H89" s="57"/>
      <c r="I89" s="71">
        <v>1</v>
      </c>
      <c r="J89" s="72" t="s">
        <v>43</v>
      </c>
      <c r="K89" s="75">
        <f t="shared" si="1"/>
        <v>1</v>
      </c>
      <c r="L89" s="77"/>
      <c r="M89" s="84"/>
    </row>
    <row r="90" ht="25" customHeight="1" spans="1:13">
      <c r="A90" s="181"/>
      <c r="B90" s="42"/>
      <c r="C90" s="43"/>
      <c r="D90" s="85"/>
      <c r="E90" s="40"/>
      <c r="F90" s="48" t="s">
        <v>328</v>
      </c>
      <c r="G90" s="21" t="s">
        <v>329</v>
      </c>
      <c r="H90" s="57"/>
      <c r="I90" s="71">
        <v>3</v>
      </c>
      <c r="J90" s="72" t="s">
        <v>43</v>
      </c>
      <c r="K90" s="75">
        <f t="shared" si="1"/>
        <v>3</v>
      </c>
      <c r="L90" s="77"/>
      <c r="M90" s="84"/>
    </row>
    <row r="91" ht="25" customHeight="1" spans="1:13">
      <c r="A91" s="181"/>
      <c r="B91" s="42"/>
      <c r="C91" s="43"/>
      <c r="D91" s="86"/>
      <c r="E91" s="90"/>
      <c r="F91" s="48" t="s">
        <v>330</v>
      </c>
      <c r="G91" s="21" t="s">
        <v>331</v>
      </c>
      <c r="H91" s="53"/>
      <c r="I91" s="71">
        <v>2</v>
      </c>
      <c r="J91" s="72" t="s">
        <v>43</v>
      </c>
      <c r="K91" s="75">
        <f t="shared" si="1"/>
        <v>2</v>
      </c>
      <c r="L91" s="79"/>
      <c r="M91" s="84"/>
    </row>
    <row r="92" ht="25" customHeight="1" spans="1:13">
      <c r="A92" s="180"/>
      <c r="B92" s="42"/>
      <c r="C92" s="43"/>
      <c r="D92" s="47" t="s">
        <v>750</v>
      </c>
      <c r="E92" s="52" t="s">
        <v>350</v>
      </c>
      <c r="F92" s="54" t="s">
        <v>350</v>
      </c>
      <c r="G92" s="56" t="s">
        <v>351</v>
      </c>
      <c r="H92" s="57" t="s">
        <v>352</v>
      </c>
      <c r="I92" s="80">
        <v>15</v>
      </c>
      <c r="J92" s="72" t="s">
        <v>43</v>
      </c>
      <c r="K92" s="75">
        <f t="shared" si="1"/>
        <v>15</v>
      </c>
      <c r="L92" s="78">
        <f>SUM(K92:K93)</f>
        <v>30</v>
      </c>
      <c r="M92" s="83"/>
    </row>
    <row r="93" ht="25" customHeight="1" spans="1:13">
      <c r="A93" s="180"/>
      <c r="B93" s="42"/>
      <c r="C93" s="43"/>
      <c r="D93" s="48"/>
      <c r="E93" s="52" t="s">
        <v>376</v>
      </c>
      <c r="F93" s="54" t="s">
        <v>376</v>
      </c>
      <c r="G93" s="21" t="s">
        <v>377</v>
      </c>
      <c r="H93" s="53" t="s">
        <v>751</v>
      </c>
      <c r="I93" s="80">
        <v>15</v>
      </c>
      <c r="J93" s="72" t="s">
        <v>43</v>
      </c>
      <c r="K93" s="75">
        <f t="shared" si="1"/>
        <v>15</v>
      </c>
      <c r="L93" s="79"/>
      <c r="M93" s="83"/>
    </row>
    <row r="94" ht="25" customHeight="1" spans="1:13">
      <c r="A94" s="181"/>
      <c r="B94" s="42"/>
      <c r="C94" s="43"/>
      <c r="D94" s="47" t="s">
        <v>443</v>
      </c>
      <c r="E94" s="52" t="s">
        <v>444</v>
      </c>
      <c r="F94" s="54" t="s">
        <v>445</v>
      </c>
      <c r="G94" s="21" t="s">
        <v>445</v>
      </c>
      <c r="H94" s="57" t="s">
        <v>446</v>
      </c>
      <c r="I94" s="80">
        <v>30</v>
      </c>
      <c r="J94" s="72" t="s">
        <v>43</v>
      </c>
      <c r="K94" s="75">
        <f t="shared" si="1"/>
        <v>30</v>
      </c>
      <c r="L94" s="78">
        <f>SUM(K94:K95)</f>
        <v>50</v>
      </c>
      <c r="M94" s="84"/>
    </row>
    <row r="95" ht="25" customHeight="1" spans="1:13">
      <c r="A95" s="181"/>
      <c r="B95" s="42"/>
      <c r="C95" s="43"/>
      <c r="D95" s="48"/>
      <c r="E95" s="52" t="s">
        <v>447</v>
      </c>
      <c r="F95" s="54" t="s">
        <v>447</v>
      </c>
      <c r="G95" s="56" t="s">
        <v>448</v>
      </c>
      <c r="H95" s="57" t="s">
        <v>449</v>
      </c>
      <c r="I95" s="80">
        <v>20</v>
      </c>
      <c r="J95" s="72" t="s">
        <v>43</v>
      </c>
      <c r="K95" s="75">
        <f t="shared" si="1"/>
        <v>20</v>
      </c>
      <c r="L95" s="79"/>
      <c r="M95" s="84"/>
    </row>
    <row r="96" ht="25" customHeight="1" spans="1:13">
      <c r="A96" s="181"/>
      <c r="B96" s="37" t="s">
        <v>752</v>
      </c>
      <c r="C96" s="38" t="s">
        <v>408</v>
      </c>
      <c r="D96" s="87"/>
      <c r="E96" s="52" t="s">
        <v>431</v>
      </c>
      <c r="F96" s="48" t="s">
        <v>431</v>
      </c>
      <c r="G96" s="21" t="s">
        <v>432</v>
      </c>
      <c r="H96" s="57" t="s">
        <v>433</v>
      </c>
      <c r="I96" s="80">
        <v>6</v>
      </c>
      <c r="J96" s="72" t="s">
        <v>43</v>
      </c>
      <c r="K96" s="75">
        <f t="shared" si="1"/>
        <v>6</v>
      </c>
      <c r="L96" s="78">
        <f>SUM(K96:K106)</f>
        <v>88</v>
      </c>
      <c r="M96" s="84"/>
    </row>
    <row r="97" ht="25" customHeight="1" spans="1:13">
      <c r="A97" s="181"/>
      <c r="B97" s="69"/>
      <c r="C97" s="40"/>
      <c r="D97" s="40"/>
      <c r="E97" s="15" t="s">
        <v>81</v>
      </c>
      <c r="F97" s="48" t="s">
        <v>82</v>
      </c>
      <c r="G97" s="56" t="s">
        <v>83</v>
      </c>
      <c r="H97" s="57" t="s">
        <v>84</v>
      </c>
      <c r="I97" s="71">
        <v>6</v>
      </c>
      <c r="J97" s="72" t="s">
        <v>43</v>
      </c>
      <c r="K97" s="75">
        <f t="shared" si="1"/>
        <v>6</v>
      </c>
      <c r="L97" s="77"/>
      <c r="M97" s="84"/>
    </row>
    <row r="98" ht="25" customHeight="1" spans="1:13">
      <c r="A98" s="181"/>
      <c r="B98" s="69"/>
      <c r="C98" s="40"/>
      <c r="D98" s="40"/>
      <c r="E98" s="15" t="s">
        <v>409</v>
      </c>
      <c r="F98" s="48" t="s">
        <v>409</v>
      </c>
      <c r="G98" s="56" t="s">
        <v>410</v>
      </c>
      <c r="H98" s="57"/>
      <c r="I98" s="80">
        <v>6</v>
      </c>
      <c r="J98" s="72" t="s">
        <v>43</v>
      </c>
      <c r="K98" s="75">
        <f t="shared" si="1"/>
        <v>6</v>
      </c>
      <c r="L98" s="77"/>
      <c r="M98" s="84"/>
    </row>
    <row r="99" ht="25" customHeight="1" spans="1:13">
      <c r="A99" s="181"/>
      <c r="B99" s="69"/>
      <c r="C99" s="40"/>
      <c r="D99" s="40"/>
      <c r="E99" s="15" t="s">
        <v>411</v>
      </c>
      <c r="F99" s="48" t="s">
        <v>412</v>
      </c>
      <c r="G99" s="56" t="s">
        <v>413</v>
      </c>
      <c r="H99" s="57" t="s">
        <v>414</v>
      </c>
      <c r="I99" s="80">
        <v>6</v>
      </c>
      <c r="J99" s="72" t="s">
        <v>43</v>
      </c>
      <c r="K99" s="75">
        <f t="shared" si="1"/>
        <v>6</v>
      </c>
      <c r="L99" s="77"/>
      <c r="M99" s="84"/>
    </row>
    <row r="100" ht="25" customHeight="1" spans="1:13">
      <c r="A100" s="181"/>
      <c r="B100" s="69"/>
      <c r="C100" s="40"/>
      <c r="D100" s="40"/>
      <c r="E100" s="15" t="s">
        <v>415</v>
      </c>
      <c r="F100" s="48" t="s">
        <v>753</v>
      </c>
      <c r="G100" s="56" t="s">
        <v>417</v>
      </c>
      <c r="H100" s="57" t="s">
        <v>418</v>
      </c>
      <c r="I100" s="80">
        <v>6</v>
      </c>
      <c r="J100" s="72" t="s">
        <v>43</v>
      </c>
      <c r="K100" s="75">
        <f t="shared" si="1"/>
        <v>6</v>
      </c>
      <c r="L100" s="77"/>
      <c r="M100" s="84"/>
    </row>
    <row r="101" ht="25" customHeight="1" spans="1:13">
      <c r="A101" s="181"/>
      <c r="B101" s="69"/>
      <c r="C101" s="40"/>
      <c r="D101" s="40"/>
      <c r="E101" s="15" t="s">
        <v>419</v>
      </c>
      <c r="F101" s="86" t="s">
        <v>754</v>
      </c>
      <c r="G101" s="59" t="s">
        <v>421</v>
      </c>
      <c r="H101" s="60" t="s">
        <v>422</v>
      </c>
      <c r="I101" s="81">
        <v>15</v>
      </c>
      <c r="J101" s="72" t="s">
        <v>43</v>
      </c>
      <c r="K101" s="75">
        <f t="shared" si="1"/>
        <v>15</v>
      </c>
      <c r="L101" s="77"/>
      <c r="M101" s="84"/>
    </row>
    <row r="102" ht="25" customHeight="1" spans="1:13">
      <c r="A102" s="181"/>
      <c r="B102" s="69"/>
      <c r="C102" s="40"/>
      <c r="D102" s="40"/>
      <c r="E102" s="15" t="s">
        <v>423</v>
      </c>
      <c r="F102" s="86" t="s">
        <v>423</v>
      </c>
      <c r="G102" s="59" t="s">
        <v>425</v>
      </c>
      <c r="H102" s="60" t="s">
        <v>426</v>
      </c>
      <c r="I102" s="81">
        <v>15</v>
      </c>
      <c r="J102" s="72" t="s">
        <v>43</v>
      </c>
      <c r="K102" s="75">
        <f t="shared" si="1"/>
        <v>15</v>
      </c>
      <c r="L102" s="77"/>
      <c r="M102" s="84"/>
    </row>
    <row r="103" ht="25" customHeight="1" spans="1:13">
      <c r="A103" s="181"/>
      <c r="B103" s="69"/>
      <c r="C103" s="40"/>
      <c r="D103" s="40"/>
      <c r="E103" s="15" t="s">
        <v>427</v>
      </c>
      <c r="F103" s="48" t="s">
        <v>428</v>
      </c>
      <c r="G103" s="56" t="s">
        <v>429</v>
      </c>
      <c r="H103" s="57" t="s">
        <v>430</v>
      </c>
      <c r="I103" s="80">
        <v>10</v>
      </c>
      <c r="J103" s="72" t="s">
        <v>43</v>
      </c>
      <c r="K103" s="75">
        <f t="shared" si="1"/>
        <v>10</v>
      </c>
      <c r="L103" s="77"/>
      <c r="M103" s="84"/>
    </row>
    <row r="104" ht="25" customHeight="1" spans="1:13">
      <c r="A104" s="181"/>
      <c r="B104" s="69"/>
      <c r="C104" s="40"/>
      <c r="D104" s="40"/>
      <c r="E104" s="15" t="s">
        <v>755</v>
      </c>
      <c r="F104" s="48" t="s">
        <v>755</v>
      </c>
      <c r="G104" s="56" t="s">
        <v>756</v>
      </c>
      <c r="H104" s="57" t="s">
        <v>757</v>
      </c>
      <c r="I104" s="71">
        <v>1</v>
      </c>
      <c r="J104" s="72" t="s">
        <v>43</v>
      </c>
      <c r="K104" s="75">
        <f t="shared" si="1"/>
        <v>1</v>
      </c>
      <c r="L104" s="77"/>
      <c r="M104" s="84"/>
    </row>
    <row r="105" ht="25" customHeight="1" spans="1:13">
      <c r="A105" s="181"/>
      <c r="B105" s="69"/>
      <c r="C105" s="40"/>
      <c r="D105" s="40"/>
      <c r="E105" s="15" t="s">
        <v>758</v>
      </c>
      <c r="F105" s="48" t="s">
        <v>758</v>
      </c>
      <c r="G105" s="21" t="s">
        <v>759</v>
      </c>
      <c r="H105" s="53" t="s">
        <v>760</v>
      </c>
      <c r="I105" s="71">
        <v>5</v>
      </c>
      <c r="J105" s="72" t="s">
        <v>43</v>
      </c>
      <c r="K105" s="75">
        <f t="shared" si="1"/>
        <v>5</v>
      </c>
      <c r="L105" s="77"/>
      <c r="M105" s="84"/>
    </row>
    <row r="106" ht="25" customHeight="1" spans="1:13">
      <c r="A106" s="181"/>
      <c r="B106" s="69"/>
      <c r="C106" s="40"/>
      <c r="D106" s="40"/>
      <c r="E106" s="15" t="s">
        <v>85</v>
      </c>
      <c r="F106" s="48" t="s">
        <v>85</v>
      </c>
      <c r="G106" s="56" t="s">
        <v>86</v>
      </c>
      <c r="H106" s="57" t="s">
        <v>87</v>
      </c>
      <c r="I106" s="80">
        <v>12</v>
      </c>
      <c r="J106" s="72" t="s">
        <v>43</v>
      </c>
      <c r="K106" s="75">
        <f t="shared" si="1"/>
        <v>12</v>
      </c>
      <c r="L106" s="77"/>
      <c r="M106" s="84"/>
    </row>
    <row r="107" ht="25" customHeight="1" spans="1:13">
      <c r="A107" s="181"/>
      <c r="B107" s="69"/>
      <c r="C107" s="38" t="s">
        <v>761</v>
      </c>
      <c r="D107" s="87"/>
      <c r="E107" s="15" t="s">
        <v>454</v>
      </c>
      <c r="F107" s="48" t="s">
        <v>454</v>
      </c>
      <c r="G107" s="56" t="s">
        <v>455</v>
      </c>
      <c r="H107" s="57" t="s">
        <v>456</v>
      </c>
      <c r="I107" s="54">
        <v>6</v>
      </c>
      <c r="J107" s="72" t="s">
        <v>43</v>
      </c>
      <c r="K107" s="75">
        <f t="shared" si="1"/>
        <v>6</v>
      </c>
      <c r="L107" s="78">
        <f>SUM(K107:K131)</f>
        <v>169</v>
      </c>
      <c r="M107" s="84"/>
    </row>
    <row r="108" ht="25" customHeight="1" spans="1:13">
      <c r="A108" s="181"/>
      <c r="B108" s="69"/>
      <c r="C108" s="40"/>
      <c r="D108" s="40"/>
      <c r="E108" s="15" t="s">
        <v>458</v>
      </c>
      <c r="F108" s="86" t="s">
        <v>458</v>
      </c>
      <c r="G108" s="59" t="s">
        <v>459</v>
      </c>
      <c r="H108" s="60" t="s">
        <v>460</v>
      </c>
      <c r="I108" s="58">
        <v>12</v>
      </c>
      <c r="J108" s="72" t="s">
        <v>43</v>
      </c>
      <c r="K108" s="75">
        <f t="shared" si="1"/>
        <v>12</v>
      </c>
      <c r="L108" s="77"/>
      <c r="M108" s="84"/>
    </row>
    <row r="109" ht="25" customHeight="1" spans="1:13">
      <c r="A109" s="181"/>
      <c r="B109" s="69"/>
      <c r="C109" s="40"/>
      <c r="D109" s="40"/>
      <c r="E109" s="15" t="s">
        <v>462</v>
      </c>
      <c r="F109" s="86" t="s">
        <v>462</v>
      </c>
      <c r="G109" s="59" t="s">
        <v>463</v>
      </c>
      <c r="H109" s="60" t="s">
        <v>464</v>
      </c>
      <c r="I109" s="58">
        <v>6</v>
      </c>
      <c r="J109" s="72" t="s">
        <v>43</v>
      </c>
      <c r="K109" s="75">
        <f t="shared" si="1"/>
        <v>6</v>
      </c>
      <c r="L109" s="77"/>
      <c r="M109" s="84"/>
    </row>
    <row r="110" ht="25" customHeight="1" spans="1:13">
      <c r="A110" s="181"/>
      <c r="B110" s="69"/>
      <c r="C110" s="40"/>
      <c r="D110" s="40"/>
      <c r="E110" s="15" t="s">
        <v>466</v>
      </c>
      <c r="F110" s="86" t="s">
        <v>466</v>
      </c>
      <c r="G110" s="59" t="s">
        <v>467</v>
      </c>
      <c r="H110" s="60" t="s">
        <v>468</v>
      </c>
      <c r="I110" s="58">
        <v>10</v>
      </c>
      <c r="J110" s="72" t="s">
        <v>43</v>
      </c>
      <c r="K110" s="75">
        <f t="shared" si="1"/>
        <v>10</v>
      </c>
      <c r="L110" s="77"/>
      <c r="M110" s="84"/>
    </row>
    <row r="111" ht="25" customHeight="1" spans="1:13">
      <c r="A111" s="181"/>
      <c r="B111" s="69"/>
      <c r="C111" s="40"/>
      <c r="D111" s="40"/>
      <c r="E111" s="15" t="s">
        <v>470</v>
      </c>
      <c r="F111" s="48" t="s">
        <v>470</v>
      </c>
      <c r="G111" s="56" t="s">
        <v>762</v>
      </c>
      <c r="H111" s="57" t="s">
        <v>763</v>
      </c>
      <c r="I111" s="48">
        <v>9</v>
      </c>
      <c r="J111" s="72" t="s">
        <v>43</v>
      </c>
      <c r="K111" s="75">
        <f t="shared" si="1"/>
        <v>9</v>
      </c>
      <c r="L111" s="77"/>
      <c r="M111" s="84"/>
    </row>
    <row r="112" ht="17.25" customHeight="1" spans="1:13">
      <c r="A112" s="181"/>
      <c r="B112" s="69"/>
      <c r="C112" s="40"/>
      <c r="D112" s="40"/>
      <c r="E112" s="15" t="s">
        <v>496</v>
      </c>
      <c r="F112" s="48" t="s">
        <v>497</v>
      </c>
      <c r="G112" s="56" t="s">
        <v>498</v>
      </c>
      <c r="H112" s="57" t="s">
        <v>499</v>
      </c>
      <c r="I112" s="54">
        <v>3</v>
      </c>
      <c r="J112" s="72" t="s">
        <v>43</v>
      </c>
      <c r="K112" s="75">
        <f t="shared" si="1"/>
        <v>3</v>
      </c>
      <c r="L112" s="77"/>
      <c r="M112" s="84"/>
    </row>
    <row r="113" ht="17.25" customHeight="1" spans="1:13">
      <c r="A113" s="181"/>
      <c r="B113" s="69"/>
      <c r="C113" s="40"/>
      <c r="D113" s="40"/>
      <c r="E113" s="52" t="s">
        <v>764</v>
      </c>
      <c r="F113" s="48" t="s">
        <v>765</v>
      </c>
      <c r="G113" s="56" t="s">
        <v>766</v>
      </c>
      <c r="H113" s="57" t="s">
        <v>767</v>
      </c>
      <c r="I113" s="54">
        <v>10</v>
      </c>
      <c r="J113" s="72" t="s">
        <v>43</v>
      </c>
      <c r="K113" s="75">
        <f t="shared" si="1"/>
        <v>10</v>
      </c>
      <c r="L113" s="77"/>
      <c r="M113" s="84"/>
    </row>
    <row r="114" ht="17.25" customHeight="1" spans="1:13">
      <c r="A114" s="181"/>
      <c r="B114" s="69"/>
      <c r="C114" s="40"/>
      <c r="D114" s="40"/>
      <c r="E114" s="52" t="s">
        <v>768</v>
      </c>
      <c r="F114" s="48" t="s">
        <v>768</v>
      </c>
      <c r="G114" s="56" t="s">
        <v>769</v>
      </c>
      <c r="H114" s="57"/>
      <c r="I114" s="54">
        <v>8</v>
      </c>
      <c r="J114" s="72" t="s">
        <v>43</v>
      </c>
      <c r="K114" s="75">
        <f t="shared" si="1"/>
        <v>8</v>
      </c>
      <c r="L114" s="77"/>
      <c r="M114" s="84"/>
    </row>
    <row r="115" ht="17.25" customHeight="1" spans="1:13">
      <c r="A115" s="181"/>
      <c r="B115" s="69"/>
      <c r="C115" s="40"/>
      <c r="D115" s="40"/>
      <c r="E115" s="52" t="s">
        <v>770</v>
      </c>
      <c r="F115" s="48" t="s">
        <v>770</v>
      </c>
      <c r="G115" s="56" t="s">
        <v>771</v>
      </c>
      <c r="H115" s="57" t="s">
        <v>476</v>
      </c>
      <c r="I115" s="54">
        <v>6</v>
      </c>
      <c r="J115" s="72" t="s">
        <v>43</v>
      </c>
      <c r="K115" s="75">
        <f t="shared" si="1"/>
        <v>6</v>
      </c>
      <c r="L115" s="77"/>
      <c r="M115" s="84"/>
    </row>
    <row r="116" ht="17.25" customHeight="1" spans="1:13">
      <c r="A116" s="181"/>
      <c r="B116" s="69"/>
      <c r="C116" s="40"/>
      <c r="D116" s="40"/>
      <c r="E116" s="52" t="s">
        <v>772</v>
      </c>
      <c r="F116" s="48" t="s">
        <v>772</v>
      </c>
      <c r="G116" s="56" t="s">
        <v>773</v>
      </c>
      <c r="H116" s="57" t="s">
        <v>476</v>
      </c>
      <c r="I116" s="54">
        <v>6</v>
      </c>
      <c r="J116" s="72" t="s">
        <v>43</v>
      </c>
      <c r="K116" s="75">
        <f t="shared" si="1"/>
        <v>6</v>
      </c>
      <c r="L116" s="77"/>
      <c r="M116" s="84"/>
    </row>
    <row r="117" ht="17.25" customHeight="1" spans="1:13">
      <c r="A117" s="181"/>
      <c r="B117" s="69"/>
      <c r="C117" s="40"/>
      <c r="D117" s="40"/>
      <c r="E117" s="52" t="s">
        <v>774</v>
      </c>
      <c r="F117" s="48" t="s">
        <v>774</v>
      </c>
      <c r="G117" s="59" t="s">
        <v>775</v>
      </c>
      <c r="H117" s="60" t="s">
        <v>776</v>
      </c>
      <c r="I117" s="54">
        <v>6</v>
      </c>
      <c r="J117" s="72" t="s">
        <v>43</v>
      </c>
      <c r="K117" s="75">
        <f t="shared" si="1"/>
        <v>6</v>
      </c>
      <c r="L117" s="77"/>
      <c r="M117" s="84"/>
    </row>
    <row r="118" ht="17.25" customHeight="1" spans="1:13">
      <c r="A118" s="181"/>
      <c r="B118" s="69"/>
      <c r="C118" s="40"/>
      <c r="D118" s="40"/>
      <c r="E118" s="52" t="s">
        <v>777</v>
      </c>
      <c r="F118" s="48" t="s">
        <v>777</v>
      </c>
      <c r="G118" s="59" t="s">
        <v>778</v>
      </c>
      <c r="H118" s="60" t="s">
        <v>776</v>
      </c>
      <c r="I118" s="54">
        <v>6</v>
      </c>
      <c r="J118" s="72" t="s">
        <v>43</v>
      </c>
      <c r="K118" s="75">
        <f t="shared" si="1"/>
        <v>6</v>
      </c>
      <c r="L118" s="77"/>
      <c r="M118" s="84"/>
    </row>
    <row r="119" ht="17.25" customHeight="1" spans="1:13">
      <c r="A119" s="181"/>
      <c r="B119" s="69"/>
      <c r="C119" s="40"/>
      <c r="D119" s="40"/>
      <c r="E119" s="15" t="s">
        <v>779</v>
      </c>
      <c r="F119" s="48" t="s">
        <v>779</v>
      </c>
      <c r="G119" s="21" t="s">
        <v>780</v>
      </c>
      <c r="H119" s="53" t="s">
        <v>781</v>
      </c>
      <c r="I119" s="48">
        <v>4</v>
      </c>
      <c r="J119" s="72" t="s">
        <v>43</v>
      </c>
      <c r="K119" s="75">
        <f t="shared" si="1"/>
        <v>4</v>
      </c>
      <c r="L119" s="77"/>
      <c r="M119" s="84"/>
    </row>
    <row r="120" ht="17.25" customHeight="1" spans="1:13">
      <c r="A120" s="181"/>
      <c r="B120" s="69"/>
      <c r="C120" s="40"/>
      <c r="D120" s="40"/>
      <c r="E120" s="15" t="s">
        <v>474</v>
      </c>
      <c r="F120" s="48" t="s">
        <v>474</v>
      </c>
      <c r="G120" s="56" t="s">
        <v>475</v>
      </c>
      <c r="H120" s="57" t="s">
        <v>476</v>
      </c>
      <c r="I120" s="54">
        <v>6</v>
      </c>
      <c r="J120" s="72" t="s">
        <v>43</v>
      </c>
      <c r="K120" s="75">
        <f t="shared" si="1"/>
        <v>6</v>
      </c>
      <c r="L120" s="77"/>
      <c r="M120" s="84"/>
    </row>
    <row r="121" ht="17.25" customHeight="1" spans="1:13">
      <c r="A121" s="181"/>
      <c r="B121" s="69"/>
      <c r="C121" s="40"/>
      <c r="D121" s="40"/>
      <c r="E121" s="15" t="s">
        <v>477</v>
      </c>
      <c r="F121" s="86" t="s">
        <v>477</v>
      </c>
      <c r="G121" s="59" t="s">
        <v>478</v>
      </c>
      <c r="H121" s="60" t="s">
        <v>479</v>
      </c>
      <c r="I121" s="58">
        <v>6</v>
      </c>
      <c r="J121" s="72" t="s">
        <v>43</v>
      </c>
      <c r="K121" s="75">
        <f t="shared" si="1"/>
        <v>6</v>
      </c>
      <c r="L121" s="77"/>
      <c r="M121" s="84"/>
    </row>
    <row r="122" ht="17.25" customHeight="1" spans="1:13">
      <c r="A122" s="181"/>
      <c r="B122" s="69"/>
      <c r="C122" s="40"/>
      <c r="D122" s="40"/>
      <c r="E122" s="15" t="s">
        <v>480</v>
      </c>
      <c r="F122" s="48" t="s">
        <v>481</v>
      </c>
      <c r="G122" s="56" t="s">
        <v>482</v>
      </c>
      <c r="H122" s="57" t="s">
        <v>483</v>
      </c>
      <c r="I122" s="54">
        <v>6</v>
      </c>
      <c r="J122" s="72" t="s">
        <v>43</v>
      </c>
      <c r="K122" s="75">
        <f t="shared" si="1"/>
        <v>6</v>
      </c>
      <c r="L122" s="77"/>
      <c r="M122" s="84"/>
    </row>
    <row r="123" ht="17.25" customHeight="1" spans="1:13">
      <c r="A123" s="181"/>
      <c r="B123" s="69"/>
      <c r="C123" s="40"/>
      <c r="D123" s="40"/>
      <c r="E123" s="15" t="s">
        <v>484</v>
      </c>
      <c r="F123" s="86" t="s">
        <v>484</v>
      </c>
      <c r="G123" s="59" t="s">
        <v>485</v>
      </c>
      <c r="H123" s="60" t="s">
        <v>476</v>
      </c>
      <c r="I123" s="58">
        <v>6</v>
      </c>
      <c r="J123" s="72" t="s">
        <v>43</v>
      </c>
      <c r="K123" s="75">
        <f t="shared" si="1"/>
        <v>6</v>
      </c>
      <c r="L123" s="77"/>
      <c r="M123" s="84"/>
    </row>
    <row r="124" ht="17.25" customHeight="1" spans="1:13">
      <c r="A124" s="181"/>
      <c r="B124" s="69"/>
      <c r="C124" s="40"/>
      <c r="D124" s="40"/>
      <c r="E124" s="15" t="s">
        <v>486</v>
      </c>
      <c r="F124" s="86" t="s">
        <v>486</v>
      </c>
      <c r="G124" s="59" t="s">
        <v>487</v>
      </c>
      <c r="H124" s="60" t="s">
        <v>476</v>
      </c>
      <c r="I124" s="58">
        <v>6</v>
      </c>
      <c r="J124" s="72" t="s">
        <v>43</v>
      </c>
      <c r="K124" s="75">
        <f t="shared" si="1"/>
        <v>6</v>
      </c>
      <c r="L124" s="77"/>
      <c r="M124" s="84"/>
    </row>
    <row r="125" ht="17.25" customHeight="1" spans="1:13">
      <c r="A125" s="181"/>
      <c r="B125" s="69"/>
      <c r="C125" s="40"/>
      <c r="D125" s="40"/>
      <c r="E125" s="15" t="s">
        <v>782</v>
      </c>
      <c r="F125" s="48" t="s">
        <v>782</v>
      </c>
      <c r="G125" s="21" t="s">
        <v>783</v>
      </c>
      <c r="H125" s="60" t="s">
        <v>476</v>
      </c>
      <c r="I125" s="48">
        <v>6</v>
      </c>
      <c r="J125" s="72" t="s">
        <v>43</v>
      </c>
      <c r="K125" s="75">
        <f t="shared" si="1"/>
        <v>6</v>
      </c>
      <c r="L125" s="77"/>
      <c r="M125" s="84"/>
    </row>
    <row r="126" ht="17.25" customHeight="1" spans="1:13">
      <c r="A126" s="181"/>
      <c r="B126" s="69"/>
      <c r="C126" s="40"/>
      <c r="D126" s="40"/>
      <c r="E126" s="15" t="s">
        <v>488</v>
      </c>
      <c r="F126" s="48" t="s">
        <v>488</v>
      </c>
      <c r="G126" s="21" t="s">
        <v>784</v>
      </c>
      <c r="H126" s="53"/>
      <c r="I126" s="48">
        <v>6</v>
      </c>
      <c r="J126" s="72" t="s">
        <v>43</v>
      </c>
      <c r="K126" s="75">
        <f t="shared" si="1"/>
        <v>6</v>
      </c>
      <c r="L126" s="77"/>
      <c r="M126" s="84"/>
    </row>
    <row r="127" ht="17.25" customHeight="1" spans="1:13">
      <c r="A127" s="181"/>
      <c r="B127" s="69"/>
      <c r="C127" s="40"/>
      <c r="D127" s="40"/>
      <c r="E127" s="15" t="s">
        <v>493</v>
      </c>
      <c r="F127" s="48" t="s">
        <v>493</v>
      </c>
      <c r="G127" s="56" t="s">
        <v>494</v>
      </c>
      <c r="H127" s="57" t="s">
        <v>495</v>
      </c>
      <c r="I127" s="54">
        <v>8</v>
      </c>
      <c r="J127" s="72" t="s">
        <v>43</v>
      </c>
      <c r="K127" s="75">
        <f t="shared" si="1"/>
        <v>8</v>
      </c>
      <c r="L127" s="77"/>
      <c r="M127" s="84"/>
    </row>
    <row r="128" ht="22" customHeight="1" spans="1:13">
      <c r="A128" s="181"/>
      <c r="B128" s="69"/>
      <c r="C128" s="40"/>
      <c r="D128" s="40"/>
      <c r="E128" s="52" t="s">
        <v>785</v>
      </c>
      <c r="F128" s="48" t="s">
        <v>785</v>
      </c>
      <c r="G128" s="56"/>
      <c r="H128" s="57" t="s">
        <v>786</v>
      </c>
      <c r="I128" s="54">
        <v>10</v>
      </c>
      <c r="J128" s="66" t="s">
        <v>43</v>
      </c>
      <c r="K128" s="75">
        <f t="shared" si="1"/>
        <v>10</v>
      </c>
      <c r="L128" s="77"/>
      <c r="M128" s="84"/>
    </row>
    <row r="129" ht="17.25" customHeight="1" spans="1:13">
      <c r="A129" s="181"/>
      <c r="B129" s="69"/>
      <c r="C129" s="40"/>
      <c r="D129" s="40"/>
      <c r="E129" s="15" t="s">
        <v>490</v>
      </c>
      <c r="F129" s="48" t="s">
        <v>490</v>
      </c>
      <c r="G129" s="56" t="s">
        <v>491</v>
      </c>
      <c r="H129" s="57" t="s">
        <v>492</v>
      </c>
      <c r="I129" s="54">
        <v>8</v>
      </c>
      <c r="J129" s="72" t="s">
        <v>43</v>
      </c>
      <c r="K129" s="75">
        <f t="shared" si="1"/>
        <v>8</v>
      </c>
      <c r="L129" s="77"/>
      <c r="M129" s="84"/>
    </row>
    <row r="130" ht="17.25" customHeight="1" spans="1:13">
      <c r="A130" s="181"/>
      <c r="B130" s="69"/>
      <c r="C130" s="40"/>
      <c r="D130" s="40"/>
      <c r="E130" s="191" t="s">
        <v>787</v>
      </c>
      <c r="F130" s="192" t="s">
        <v>787</v>
      </c>
      <c r="G130" s="193" t="s">
        <v>788</v>
      </c>
      <c r="H130" s="194"/>
      <c r="I130" s="192">
        <v>4</v>
      </c>
      <c r="J130" s="198" t="s">
        <v>43</v>
      </c>
      <c r="K130" s="199">
        <f t="shared" si="1"/>
        <v>4</v>
      </c>
      <c r="L130" s="77"/>
      <c r="M130" s="84"/>
    </row>
    <row r="131" ht="17.25" customHeight="1" spans="1:13">
      <c r="A131" s="181"/>
      <c r="B131" s="69"/>
      <c r="C131" s="40"/>
      <c r="D131" s="40"/>
      <c r="E131" s="15" t="s">
        <v>789</v>
      </c>
      <c r="F131" s="48" t="s">
        <v>789</v>
      </c>
      <c r="G131" s="21" t="s">
        <v>790</v>
      </c>
      <c r="H131" s="53"/>
      <c r="I131" s="48">
        <v>5</v>
      </c>
      <c r="J131" s="72" t="s">
        <v>43</v>
      </c>
      <c r="K131" s="75">
        <f t="shared" ref="K131:K194" si="2">IF(J131&lt;&gt;0,I131,0)</f>
        <v>5</v>
      </c>
      <c r="L131" s="79"/>
      <c r="M131" s="84"/>
    </row>
    <row r="132" ht="25" customHeight="1" spans="1:13">
      <c r="A132" s="181"/>
      <c r="B132" s="69"/>
      <c r="C132" s="38" t="s">
        <v>542</v>
      </c>
      <c r="D132" s="87"/>
      <c r="E132" s="52" t="s">
        <v>543</v>
      </c>
      <c r="F132" s="48" t="s">
        <v>544</v>
      </c>
      <c r="G132" s="56" t="s">
        <v>545</v>
      </c>
      <c r="H132" s="57"/>
      <c r="I132" s="80">
        <v>7</v>
      </c>
      <c r="J132" s="72" t="s">
        <v>43</v>
      </c>
      <c r="K132" s="75">
        <f t="shared" si="2"/>
        <v>7</v>
      </c>
      <c r="L132" s="78">
        <f>SUM(K132:K137)</f>
        <v>29</v>
      </c>
      <c r="M132" s="84"/>
    </row>
    <row r="133" ht="25" customHeight="1" spans="1:13">
      <c r="A133" s="181"/>
      <c r="B133" s="69"/>
      <c r="C133" s="40"/>
      <c r="D133" s="40"/>
      <c r="E133" s="52" t="s">
        <v>546</v>
      </c>
      <c r="F133" s="86" t="s">
        <v>547</v>
      </c>
      <c r="G133" s="59" t="s">
        <v>548</v>
      </c>
      <c r="H133" s="60"/>
      <c r="I133" s="81">
        <v>5</v>
      </c>
      <c r="J133" s="72" t="s">
        <v>43</v>
      </c>
      <c r="K133" s="75">
        <f t="shared" si="2"/>
        <v>5</v>
      </c>
      <c r="L133" s="77"/>
      <c r="M133" s="84"/>
    </row>
    <row r="134" ht="25" customHeight="1" spans="1:13">
      <c r="A134" s="181"/>
      <c r="B134" s="69"/>
      <c r="C134" s="40"/>
      <c r="D134" s="40"/>
      <c r="E134" s="52" t="s">
        <v>556</v>
      </c>
      <c r="F134" s="86" t="s">
        <v>557</v>
      </c>
      <c r="G134" s="59" t="s">
        <v>558</v>
      </c>
      <c r="H134" s="60"/>
      <c r="I134" s="81">
        <v>7</v>
      </c>
      <c r="J134" s="72" t="s">
        <v>43</v>
      </c>
      <c r="K134" s="75">
        <f t="shared" si="2"/>
        <v>7</v>
      </c>
      <c r="L134" s="77"/>
      <c r="M134" s="84"/>
    </row>
    <row r="135" ht="25" customHeight="1" spans="1:13">
      <c r="A135" s="181"/>
      <c r="B135" s="69"/>
      <c r="C135" s="40"/>
      <c r="D135" s="40"/>
      <c r="E135" s="100" t="s">
        <v>262</v>
      </c>
      <c r="F135" s="195"/>
      <c r="G135" s="196"/>
      <c r="H135" s="60"/>
      <c r="I135" s="81">
        <v>0</v>
      </c>
      <c r="J135" s="72" t="s">
        <v>43</v>
      </c>
      <c r="K135" s="75">
        <f t="shared" si="2"/>
        <v>0</v>
      </c>
      <c r="L135" s="77"/>
      <c r="M135" s="84"/>
    </row>
    <row r="136" ht="25" customHeight="1" spans="1:13">
      <c r="A136" s="181"/>
      <c r="B136" s="69"/>
      <c r="C136" s="40"/>
      <c r="D136" s="40"/>
      <c r="E136" s="52" t="s">
        <v>549</v>
      </c>
      <c r="F136" s="48" t="s">
        <v>550</v>
      </c>
      <c r="G136" s="56" t="s">
        <v>551</v>
      </c>
      <c r="H136" s="57"/>
      <c r="I136" s="80">
        <v>7</v>
      </c>
      <c r="J136" s="72" t="s">
        <v>43</v>
      </c>
      <c r="K136" s="75">
        <f t="shared" si="2"/>
        <v>7</v>
      </c>
      <c r="L136" s="77"/>
      <c r="M136" s="84"/>
    </row>
    <row r="137" ht="25" customHeight="1" spans="1:13">
      <c r="A137" s="181"/>
      <c r="B137" s="69"/>
      <c r="C137" s="40"/>
      <c r="D137" s="40"/>
      <c r="E137" s="52" t="s">
        <v>552</v>
      </c>
      <c r="F137" s="48" t="s">
        <v>552</v>
      </c>
      <c r="G137" s="21" t="s">
        <v>554</v>
      </c>
      <c r="H137" s="53" t="s">
        <v>555</v>
      </c>
      <c r="I137" s="71">
        <v>3</v>
      </c>
      <c r="J137" s="72" t="s">
        <v>43</v>
      </c>
      <c r="K137" s="75">
        <f t="shared" si="2"/>
        <v>3</v>
      </c>
      <c r="L137" s="77"/>
      <c r="M137" s="84"/>
    </row>
    <row r="138" ht="25" customHeight="1" spans="1:13">
      <c r="A138" s="181"/>
      <c r="B138" s="69"/>
      <c r="C138" s="38" t="s">
        <v>791</v>
      </c>
      <c r="D138" s="182"/>
      <c r="E138" s="52" t="s">
        <v>792</v>
      </c>
      <c r="F138" s="48" t="s">
        <v>560</v>
      </c>
      <c r="G138" s="21" t="s">
        <v>561</v>
      </c>
      <c r="H138" s="53"/>
      <c r="I138" s="71">
        <v>5</v>
      </c>
      <c r="J138" s="72" t="s">
        <v>43</v>
      </c>
      <c r="K138" s="67">
        <f t="shared" si="2"/>
        <v>5</v>
      </c>
      <c r="L138" s="78">
        <f>SUM(K138:K139)</f>
        <v>5</v>
      </c>
      <c r="M138" s="84"/>
    </row>
    <row r="139" ht="25" customHeight="1" spans="1:13">
      <c r="A139" s="181"/>
      <c r="B139" s="69"/>
      <c r="C139" s="90"/>
      <c r="D139" s="183"/>
      <c r="E139" s="52" t="s">
        <v>793</v>
      </c>
      <c r="F139" s="94"/>
      <c r="G139" s="95"/>
      <c r="H139" s="53" t="s">
        <v>564</v>
      </c>
      <c r="I139" s="71">
        <v>0</v>
      </c>
      <c r="J139" s="72" t="s">
        <v>43</v>
      </c>
      <c r="K139" s="67">
        <f t="shared" si="2"/>
        <v>0</v>
      </c>
      <c r="L139" s="79"/>
      <c r="M139" s="84"/>
    </row>
    <row r="140" ht="25" customHeight="1" spans="1:13">
      <c r="A140" s="181"/>
      <c r="B140" s="69"/>
      <c r="C140" s="38" t="s">
        <v>509</v>
      </c>
      <c r="D140" s="87"/>
      <c r="E140" s="15" t="s">
        <v>515</v>
      </c>
      <c r="F140" s="48" t="s">
        <v>516</v>
      </c>
      <c r="G140" s="56" t="s">
        <v>517</v>
      </c>
      <c r="H140" s="57"/>
      <c r="I140" s="80">
        <v>5</v>
      </c>
      <c r="J140" s="72" t="s">
        <v>43</v>
      </c>
      <c r="K140" s="75">
        <f t="shared" si="2"/>
        <v>5</v>
      </c>
      <c r="L140" s="78">
        <f>SUM(K140:K149)</f>
        <v>69</v>
      </c>
      <c r="M140" s="84"/>
    </row>
    <row r="141" ht="25" customHeight="1" spans="1:13">
      <c r="A141" s="181"/>
      <c r="B141" s="69"/>
      <c r="C141" s="40"/>
      <c r="D141" s="40"/>
      <c r="E141" s="15" t="s">
        <v>518</v>
      </c>
      <c r="F141" s="86" t="s">
        <v>516</v>
      </c>
      <c r="G141" s="59" t="s">
        <v>519</v>
      </c>
      <c r="H141" s="60"/>
      <c r="I141" s="81">
        <v>8</v>
      </c>
      <c r="J141" s="72" t="s">
        <v>43</v>
      </c>
      <c r="K141" s="75">
        <f t="shared" si="2"/>
        <v>8</v>
      </c>
      <c r="L141" s="77"/>
      <c r="M141" s="84"/>
    </row>
    <row r="142" ht="25" customHeight="1" spans="1:13">
      <c r="A142" s="181"/>
      <c r="B142" s="69"/>
      <c r="C142" s="40"/>
      <c r="D142" s="40"/>
      <c r="E142" s="15" t="s">
        <v>520</v>
      </c>
      <c r="F142" s="86" t="s">
        <v>521</v>
      </c>
      <c r="G142" s="59" t="s">
        <v>522</v>
      </c>
      <c r="H142" s="60"/>
      <c r="I142" s="81">
        <v>8</v>
      </c>
      <c r="J142" s="72" t="s">
        <v>43</v>
      </c>
      <c r="K142" s="75">
        <f t="shared" si="2"/>
        <v>8</v>
      </c>
      <c r="L142" s="77"/>
      <c r="M142" s="84"/>
    </row>
    <row r="143" ht="25" customHeight="1" spans="1:13">
      <c r="A143" s="181"/>
      <c r="B143" s="69"/>
      <c r="C143" s="40"/>
      <c r="D143" s="40"/>
      <c r="E143" s="15" t="s">
        <v>523</v>
      </c>
      <c r="F143" s="86" t="s">
        <v>524</v>
      </c>
      <c r="G143" s="59" t="s">
        <v>525</v>
      </c>
      <c r="H143" s="60" t="s">
        <v>526</v>
      </c>
      <c r="I143" s="81">
        <v>3</v>
      </c>
      <c r="J143" s="72" t="s">
        <v>43</v>
      </c>
      <c r="K143" s="75">
        <f t="shared" si="2"/>
        <v>3</v>
      </c>
      <c r="L143" s="77"/>
      <c r="M143" s="84"/>
    </row>
    <row r="144" ht="25" customHeight="1" spans="1:13">
      <c r="A144" s="181"/>
      <c r="B144" s="69"/>
      <c r="C144" s="40"/>
      <c r="D144" s="40"/>
      <c r="E144" s="15" t="s">
        <v>527</v>
      </c>
      <c r="F144" s="86" t="s">
        <v>528</v>
      </c>
      <c r="G144" s="59" t="s">
        <v>529</v>
      </c>
      <c r="H144" s="60"/>
      <c r="I144" s="81">
        <v>8</v>
      </c>
      <c r="J144" s="72" t="s">
        <v>43</v>
      </c>
      <c r="K144" s="75">
        <f t="shared" si="2"/>
        <v>8</v>
      </c>
      <c r="L144" s="77"/>
      <c r="M144" s="84"/>
    </row>
    <row r="145" ht="25" customHeight="1" spans="1:13">
      <c r="A145" s="181"/>
      <c r="B145" s="69"/>
      <c r="C145" s="40"/>
      <c r="D145" s="40"/>
      <c r="E145" s="15" t="s">
        <v>530</v>
      </c>
      <c r="F145" s="86" t="s">
        <v>531</v>
      </c>
      <c r="G145" s="59" t="s">
        <v>532</v>
      </c>
      <c r="H145" s="60"/>
      <c r="I145" s="81">
        <v>4</v>
      </c>
      <c r="J145" s="72" t="s">
        <v>43</v>
      </c>
      <c r="K145" s="75">
        <f t="shared" si="2"/>
        <v>4</v>
      </c>
      <c r="L145" s="77"/>
      <c r="M145" s="84"/>
    </row>
    <row r="146" ht="25" customHeight="1" spans="1:13">
      <c r="A146" s="181"/>
      <c r="B146" s="69"/>
      <c r="C146" s="40"/>
      <c r="D146" s="40"/>
      <c r="E146" s="15" t="s">
        <v>533</v>
      </c>
      <c r="F146" s="86" t="s">
        <v>534</v>
      </c>
      <c r="G146" s="59" t="s">
        <v>535</v>
      </c>
      <c r="H146" s="60"/>
      <c r="I146" s="81">
        <v>4</v>
      </c>
      <c r="J146" s="72" t="s">
        <v>43</v>
      </c>
      <c r="K146" s="75">
        <f t="shared" si="2"/>
        <v>4</v>
      </c>
      <c r="L146" s="77"/>
      <c r="M146" s="84"/>
    </row>
    <row r="147" ht="25" customHeight="1" spans="1:13">
      <c r="A147" s="181"/>
      <c r="B147" s="69"/>
      <c r="C147" s="40"/>
      <c r="D147" s="40"/>
      <c r="E147" s="16" t="s">
        <v>794</v>
      </c>
      <c r="F147" s="86" t="s">
        <v>795</v>
      </c>
      <c r="G147" s="59" t="s">
        <v>796</v>
      </c>
      <c r="H147" s="60" t="s">
        <v>797</v>
      </c>
      <c r="I147" s="81">
        <v>20</v>
      </c>
      <c r="J147" s="72" t="s">
        <v>43</v>
      </c>
      <c r="K147" s="75">
        <f t="shared" si="2"/>
        <v>20</v>
      </c>
      <c r="L147" s="77"/>
      <c r="M147" s="84"/>
    </row>
    <row r="148" ht="25" customHeight="1" spans="1:13">
      <c r="A148" s="181"/>
      <c r="B148" s="69"/>
      <c r="C148" s="40"/>
      <c r="D148" s="40"/>
      <c r="E148" s="15" t="s">
        <v>536</v>
      </c>
      <c r="F148" s="86" t="s">
        <v>537</v>
      </c>
      <c r="G148" s="59" t="s">
        <v>538</v>
      </c>
      <c r="H148" s="60"/>
      <c r="I148" s="81">
        <v>4</v>
      </c>
      <c r="J148" s="72" t="s">
        <v>43</v>
      </c>
      <c r="K148" s="75">
        <f t="shared" si="2"/>
        <v>4</v>
      </c>
      <c r="L148" s="77"/>
      <c r="M148" s="84"/>
    </row>
    <row r="149" ht="25" customHeight="1" spans="1:13">
      <c r="A149" s="181"/>
      <c r="B149" s="69"/>
      <c r="C149" s="90"/>
      <c r="D149" s="90"/>
      <c r="E149" s="15" t="s">
        <v>539</v>
      </c>
      <c r="F149" s="86" t="s">
        <v>540</v>
      </c>
      <c r="G149" s="59" t="s">
        <v>541</v>
      </c>
      <c r="H149" s="60"/>
      <c r="I149" s="81">
        <v>5</v>
      </c>
      <c r="J149" s="72" t="s">
        <v>43</v>
      </c>
      <c r="K149" s="75">
        <f t="shared" si="2"/>
        <v>5</v>
      </c>
      <c r="L149" s="79"/>
      <c r="M149" s="84"/>
    </row>
    <row r="150" ht="25" customHeight="1" spans="1:13">
      <c r="A150" s="181"/>
      <c r="B150" s="69"/>
      <c r="C150" s="38" t="s">
        <v>500</v>
      </c>
      <c r="D150" s="87"/>
      <c r="E150" s="15" t="s">
        <v>501</v>
      </c>
      <c r="F150" s="48" t="s">
        <v>502</v>
      </c>
      <c r="G150" s="56" t="s">
        <v>503</v>
      </c>
      <c r="H150" s="57" t="s">
        <v>504</v>
      </c>
      <c r="I150" s="80">
        <v>5</v>
      </c>
      <c r="J150" s="72" t="s">
        <v>43</v>
      </c>
      <c r="K150" s="75">
        <f t="shared" si="2"/>
        <v>5</v>
      </c>
      <c r="L150" s="78">
        <f>SUM(K150:K151)</f>
        <v>10</v>
      </c>
      <c r="M150" s="84"/>
    </row>
    <row r="151" ht="25" customHeight="1" spans="1:13">
      <c r="A151" s="181"/>
      <c r="B151" s="69"/>
      <c r="C151" s="90"/>
      <c r="D151" s="90"/>
      <c r="E151" s="15" t="s">
        <v>505</v>
      </c>
      <c r="F151" s="86" t="s">
        <v>506</v>
      </c>
      <c r="G151" s="59" t="s">
        <v>507</v>
      </c>
      <c r="H151" s="60" t="s">
        <v>508</v>
      </c>
      <c r="I151" s="81">
        <v>5</v>
      </c>
      <c r="J151" s="72" t="s">
        <v>43</v>
      </c>
      <c r="K151" s="75">
        <f t="shared" si="2"/>
        <v>5</v>
      </c>
      <c r="L151" s="77"/>
      <c r="M151" s="84"/>
    </row>
    <row r="152" ht="25" customHeight="1" spans="1:13">
      <c r="A152" s="181"/>
      <c r="B152" s="69"/>
      <c r="C152" s="38" t="s">
        <v>38</v>
      </c>
      <c r="D152" s="87"/>
      <c r="E152" s="15" t="s">
        <v>39</v>
      </c>
      <c r="F152" s="48" t="s">
        <v>40</v>
      </c>
      <c r="G152" s="56" t="s">
        <v>41</v>
      </c>
      <c r="H152" s="57" t="s">
        <v>42</v>
      </c>
      <c r="I152" s="80">
        <v>8</v>
      </c>
      <c r="J152" s="72" t="s">
        <v>43</v>
      </c>
      <c r="K152" s="75">
        <f t="shared" si="2"/>
        <v>8</v>
      </c>
      <c r="L152" s="78">
        <f>SUM(K152:K158)</f>
        <v>36</v>
      </c>
      <c r="M152" s="84"/>
    </row>
    <row r="153" ht="25" customHeight="1" spans="1:13">
      <c r="A153" s="181"/>
      <c r="B153" s="69"/>
      <c r="C153" s="40"/>
      <c r="D153" s="40"/>
      <c r="E153" s="15" t="s">
        <v>44</v>
      </c>
      <c r="F153" s="86" t="s">
        <v>45</v>
      </c>
      <c r="G153" s="59" t="s">
        <v>46</v>
      </c>
      <c r="H153" s="60" t="s">
        <v>47</v>
      </c>
      <c r="I153" s="81">
        <v>8</v>
      </c>
      <c r="J153" s="72" t="s">
        <v>43</v>
      </c>
      <c r="K153" s="75">
        <f t="shared" si="2"/>
        <v>8</v>
      </c>
      <c r="L153" s="77"/>
      <c r="M153" s="84"/>
    </row>
    <row r="154" ht="25" customHeight="1" spans="1:13">
      <c r="A154" s="181"/>
      <c r="B154" s="69"/>
      <c r="C154" s="40"/>
      <c r="D154" s="40"/>
      <c r="E154" s="15" t="s">
        <v>48</v>
      </c>
      <c r="F154" s="86" t="s">
        <v>49</v>
      </c>
      <c r="G154" s="59" t="s">
        <v>50</v>
      </c>
      <c r="H154" s="60"/>
      <c r="I154" s="81">
        <v>5</v>
      </c>
      <c r="J154" s="72" t="s">
        <v>43</v>
      </c>
      <c r="K154" s="75">
        <f t="shared" si="2"/>
        <v>5</v>
      </c>
      <c r="L154" s="77"/>
      <c r="M154" s="84"/>
    </row>
    <row r="155" ht="25" customHeight="1" spans="1:13">
      <c r="A155" s="181"/>
      <c r="B155" s="69"/>
      <c r="C155" s="40"/>
      <c r="D155" s="40"/>
      <c r="E155" s="15" t="s">
        <v>51</v>
      </c>
      <c r="F155" s="86" t="s">
        <v>52</v>
      </c>
      <c r="G155" s="59" t="s">
        <v>53</v>
      </c>
      <c r="H155" s="60"/>
      <c r="I155" s="81">
        <v>3</v>
      </c>
      <c r="J155" s="72" t="s">
        <v>43</v>
      </c>
      <c r="K155" s="75">
        <f t="shared" si="2"/>
        <v>3</v>
      </c>
      <c r="L155" s="77"/>
      <c r="M155" s="84"/>
    </row>
    <row r="156" ht="25" customHeight="1" spans="1:13">
      <c r="A156" s="181"/>
      <c r="B156" s="69"/>
      <c r="C156" s="40"/>
      <c r="D156" s="40"/>
      <c r="E156" s="15" t="s">
        <v>54</v>
      </c>
      <c r="F156" s="86" t="s">
        <v>54</v>
      </c>
      <c r="G156" s="59" t="s">
        <v>56</v>
      </c>
      <c r="H156" s="60"/>
      <c r="I156" s="81">
        <v>5</v>
      </c>
      <c r="J156" s="72" t="s">
        <v>43</v>
      </c>
      <c r="K156" s="75">
        <f t="shared" si="2"/>
        <v>5</v>
      </c>
      <c r="L156" s="77"/>
      <c r="M156" s="84"/>
    </row>
    <row r="157" ht="25" customHeight="1" spans="1:13">
      <c r="A157" s="181"/>
      <c r="B157" s="69"/>
      <c r="C157" s="40"/>
      <c r="D157" s="40"/>
      <c r="E157" s="97" t="s">
        <v>798</v>
      </c>
      <c r="F157" s="48" t="s">
        <v>173</v>
      </c>
      <c r="G157" s="21" t="s">
        <v>174</v>
      </c>
      <c r="H157" s="53" t="s">
        <v>175</v>
      </c>
      <c r="I157" s="71">
        <v>5</v>
      </c>
      <c r="J157" s="72" t="s">
        <v>43</v>
      </c>
      <c r="K157" s="73">
        <f t="shared" si="2"/>
        <v>5</v>
      </c>
      <c r="L157" s="77"/>
      <c r="M157" s="84"/>
    </row>
    <row r="158" ht="25" customHeight="1" spans="1:13">
      <c r="A158" s="181"/>
      <c r="B158" s="69"/>
      <c r="C158" s="40"/>
      <c r="D158" s="40"/>
      <c r="E158" s="96" t="s">
        <v>61</v>
      </c>
      <c r="F158" s="48" t="s">
        <v>62</v>
      </c>
      <c r="G158" s="56" t="s">
        <v>63</v>
      </c>
      <c r="H158" s="57"/>
      <c r="I158" s="80">
        <v>2</v>
      </c>
      <c r="J158" s="72" t="s">
        <v>43</v>
      </c>
      <c r="K158" s="75">
        <f t="shared" si="2"/>
        <v>2</v>
      </c>
      <c r="L158" s="77"/>
      <c r="M158" s="84"/>
    </row>
    <row r="159" ht="25" customHeight="1" spans="1:13">
      <c r="A159" s="181"/>
      <c r="B159" s="69"/>
      <c r="C159" s="38" t="s">
        <v>64</v>
      </c>
      <c r="D159" s="87"/>
      <c r="E159" s="15" t="s">
        <v>608</v>
      </c>
      <c r="F159" s="48" t="s">
        <v>609</v>
      </c>
      <c r="G159" s="56" t="s">
        <v>610</v>
      </c>
      <c r="H159" s="57"/>
      <c r="I159" s="80">
        <v>2</v>
      </c>
      <c r="J159" s="72" t="s">
        <v>43</v>
      </c>
      <c r="K159" s="75">
        <f t="shared" si="2"/>
        <v>2</v>
      </c>
      <c r="L159" s="78">
        <f>SUM(K159:K170)</f>
        <v>29</v>
      </c>
      <c r="M159" s="84"/>
    </row>
    <row r="160" ht="25" customHeight="1" spans="1:13">
      <c r="A160" s="181"/>
      <c r="B160" s="69"/>
      <c r="C160" s="40"/>
      <c r="D160" s="40"/>
      <c r="E160" s="52" t="s">
        <v>614</v>
      </c>
      <c r="F160" s="48" t="s">
        <v>614</v>
      </c>
      <c r="G160" s="56" t="s">
        <v>615</v>
      </c>
      <c r="H160" s="57"/>
      <c r="I160" s="80">
        <v>2</v>
      </c>
      <c r="J160" s="72" t="s">
        <v>43</v>
      </c>
      <c r="K160" s="75">
        <f t="shared" si="2"/>
        <v>2</v>
      </c>
      <c r="L160" s="77"/>
      <c r="M160" s="84"/>
    </row>
    <row r="161" ht="25" customHeight="1" spans="1:13">
      <c r="A161" s="181"/>
      <c r="B161" s="69"/>
      <c r="C161" s="40"/>
      <c r="D161" s="40"/>
      <c r="E161" s="15" t="s">
        <v>395</v>
      </c>
      <c r="F161" s="86" t="s">
        <v>395</v>
      </c>
      <c r="G161" s="59" t="s">
        <v>617</v>
      </c>
      <c r="H161" s="60"/>
      <c r="I161" s="81">
        <v>5</v>
      </c>
      <c r="J161" s="72" t="s">
        <v>43</v>
      </c>
      <c r="K161" s="75">
        <f t="shared" si="2"/>
        <v>5</v>
      </c>
      <c r="L161" s="77"/>
      <c r="M161" s="84"/>
    </row>
    <row r="162" ht="25" customHeight="1" spans="1:13">
      <c r="A162" s="181"/>
      <c r="B162" s="69"/>
      <c r="C162" s="40"/>
      <c r="D162" s="40"/>
      <c r="E162" s="15" t="s">
        <v>65</v>
      </c>
      <c r="F162" s="48" t="s">
        <v>66</v>
      </c>
      <c r="G162" s="56" t="s">
        <v>67</v>
      </c>
      <c r="H162" s="57"/>
      <c r="I162" s="80">
        <v>1</v>
      </c>
      <c r="J162" s="72" t="s">
        <v>43</v>
      </c>
      <c r="K162" s="75">
        <f t="shared" si="2"/>
        <v>1</v>
      </c>
      <c r="L162" s="77"/>
      <c r="M162" s="84"/>
    </row>
    <row r="163" ht="25" customHeight="1" spans="1:13">
      <c r="A163" s="181"/>
      <c r="B163" s="69"/>
      <c r="C163" s="40"/>
      <c r="D163" s="40"/>
      <c r="E163" s="15" t="s">
        <v>68</v>
      </c>
      <c r="F163" s="86" t="s">
        <v>69</v>
      </c>
      <c r="G163" s="59" t="s">
        <v>70</v>
      </c>
      <c r="H163" s="60"/>
      <c r="I163" s="81">
        <v>2</v>
      </c>
      <c r="J163" s="72" t="s">
        <v>43</v>
      </c>
      <c r="K163" s="75">
        <f t="shared" si="2"/>
        <v>2</v>
      </c>
      <c r="L163" s="77"/>
      <c r="M163" s="84"/>
    </row>
    <row r="164" ht="25" customHeight="1" spans="1:13">
      <c r="A164" s="181"/>
      <c r="B164" s="69"/>
      <c r="C164" s="40"/>
      <c r="D164" s="40"/>
      <c r="E164" s="15" t="s">
        <v>799</v>
      </c>
      <c r="F164" s="86" t="s">
        <v>799</v>
      </c>
      <c r="G164" s="59" t="s">
        <v>800</v>
      </c>
      <c r="H164" s="60"/>
      <c r="I164" s="81">
        <v>2</v>
      </c>
      <c r="J164" s="72" t="s">
        <v>43</v>
      </c>
      <c r="K164" s="75">
        <f t="shared" si="2"/>
        <v>2</v>
      </c>
      <c r="L164" s="77"/>
      <c r="M164" s="84"/>
    </row>
    <row r="165" ht="25" customHeight="1" spans="1:13">
      <c r="A165" s="181"/>
      <c r="B165" s="69"/>
      <c r="C165" s="40"/>
      <c r="D165" s="40"/>
      <c r="E165" s="15" t="s">
        <v>71</v>
      </c>
      <c r="F165" s="48" t="s">
        <v>72</v>
      </c>
      <c r="G165" s="56" t="s">
        <v>73</v>
      </c>
      <c r="H165" s="57"/>
      <c r="I165" s="80">
        <v>1</v>
      </c>
      <c r="J165" s="72" t="s">
        <v>43</v>
      </c>
      <c r="K165" s="75">
        <f t="shared" si="2"/>
        <v>1</v>
      </c>
      <c r="L165" s="77"/>
      <c r="M165" s="84"/>
    </row>
    <row r="166" ht="25" customHeight="1" spans="1:13">
      <c r="A166" s="181"/>
      <c r="B166" s="69"/>
      <c r="C166" s="40"/>
      <c r="D166" s="40"/>
      <c r="E166" s="15" t="s">
        <v>58</v>
      </c>
      <c r="F166" s="48" t="s">
        <v>59</v>
      </c>
      <c r="G166" s="56" t="s">
        <v>60</v>
      </c>
      <c r="H166" s="57"/>
      <c r="I166" s="80">
        <v>2</v>
      </c>
      <c r="J166" s="72" t="s">
        <v>43</v>
      </c>
      <c r="K166" s="75">
        <f t="shared" si="2"/>
        <v>2</v>
      </c>
      <c r="L166" s="77"/>
      <c r="M166" s="84"/>
    </row>
    <row r="167" ht="25" customHeight="1" spans="1:13">
      <c r="A167" s="181"/>
      <c r="B167" s="69"/>
      <c r="C167" s="40"/>
      <c r="D167" s="40"/>
      <c r="E167" s="15" t="s">
        <v>74</v>
      </c>
      <c r="F167" s="48" t="s">
        <v>75</v>
      </c>
      <c r="G167" s="56" t="s">
        <v>76</v>
      </c>
      <c r="H167" s="57"/>
      <c r="I167" s="80">
        <v>1</v>
      </c>
      <c r="J167" s="72" t="s">
        <v>43</v>
      </c>
      <c r="K167" s="75">
        <f t="shared" si="2"/>
        <v>1</v>
      </c>
      <c r="L167" s="77"/>
      <c r="M167" s="84"/>
    </row>
    <row r="168" ht="25" customHeight="1" spans="1:13">
      <c r="A168" s="181"/>
      <c r="B168" s="69"/>
      <c r="C168" s="40"/>
      <c r="D168" s="40"/>
      <c r="E168" s="15" t="s">
        <v>88</v>
      </c>
      <c r="F168" s="48" t="s">
        <v>88</v>
      </c>
      <c r="G168" s="56" t="s">
        <v>89</v>
      </c>
      <c r="H168" s="57" t="s">
        <v>90</v>
      </c>
      <c r="I168" s="80">
        <v>8</v>
      </c>
      <c r="J168" s="72" t="s">
        <v>43</v>
      </c>
      <c r="K168" s="75">
        <f t="shared" si="2"/>
        <v>8</v>
      </c>
      <c r="L168" s="77"/>
      <c r="M168" s="84"/>
    </row>
    <row r="169" ht="25" customHeight="1" spans="1:13">
      <c r="A169" s="181"/>
      <c r="B169" s="69"/>
      <c r="C169" s="40"/>
      <c r="D169" s="40"/>
      <c r="E169" s="15" t="s">
        <v>801</v>
      </c>
      <c r="F169" s="48" t="s">
        <v>801</v>
      </c>
      <c r="G169" s="21"/>
      <c r="H169" s="53"/>
      <c r="I169" s="71">
        <v>0</v>
      </c>
      <c r="J169" s="72" t="s">
        <v>43</v>
      </c>
      <c r="K169" s="75">
        <f t="shared" si="2"/>
        <v>0</v>
      </c>
      <c r="L169" s="77"/>
      <c r="M169" s="84"/>
    </row>
    <row r="170" ht="25" customHeight="1" spans="1:13">
      <c r="A170" s="181"/>
      <c r="B170" s="69"/>
      <c r="C170" s="40"/>
      <c r="D170" s="40"/>
      <c r="E170" s="96" t="s">
        <v>450</v>
      </c>
      <c r="F170" s="138" t="s">
        <v>450</v>
      </c>
      <c r="G170" s="139" t="s">
        <v>451</v>
      </c>
      <c r="H170" s="140" t="s">
        <v>452</v>
      </c>
      <c r="I170" s="162">
        <v>3</v>
      </c>
      <c r="J170" s="200" t="s">
        <v>43</v>
      </c>
      <c r="K170" s="201">
        <f t="shared" si="2"/>
        <v>3</v>
      </c>
      <c r="L170" s="77"/>
      <c r="M170" s="84"/>
    </row>
    <row r="171" ht="25" customHeight="1" spans="1:13">
      <c r="A171" s="181"/>
      <c r="B171" s="69"/>
      <c r="C171" s="184" t="s">
        <v>565</v>
      </c>
      <c r="D171" s="87"/>
      <c r="E171" s="96" t="s">
        <v>566</v>
      </c>
      <c r="F171" s="48" t="s">
        <v>567</v>
      </c>
      <c r="G171" s="56" t="s">
        <v>568</v>
      </c>
      <c r="H171" s="57" t="s">
        <v>569</v>
      </c>
      <c r="I171" s="54">
        <v>3</v>
      </c>
      <c r="J171" s="66" t="s">
        <v>43</v>
      </c>
      <c r="K171" s="67">
        <f t="shared" si="2"/>
        <v>3</v>
      </c>
      <c r="L171" s="78">
        <f>SUM(K171:K173)</f>
        <v>7</v>
      </c>
      <c r="M171" s="84"/>
    </row>
    <row r="172" ht="25" customHeight="1" spans="1:13">
      <c r="A172" s="181"/>
      <c r="B172" s="69"/>
      <c r="C172" s="185"/>
      <c r="D172" s="40"/>
      <c r="E172" s="96" t="s">
        <v>570</v>
      </c>
      <c r="F172" s="86" t="s">
        <v>571</v>
      </c>
      <c r="G172" s="59" t="s">
        <v>572</v>
      </c>
      <c r="H172" s="60" t="s">
        <v>573</v>
      </c>
      <c r="I172" s="58">
        <v>3</v>
      </c>
      <c r="J172" s="66" t="s">
        <v>43</v>
      </c>
      <c r="K172" s="67">
        <f t="shared" si="2"/>
        <v>3</v>
      </c>
      <c r="L172" s="77"/>
      <c r="M172" s="84"/>
    </row>
    <row r="173" ht="25" customHeight="1" spans="1:13">
      <c r="A173" s="181"/>
      <c r="B173" s="69"/>
      <c r="C173" s="186"/>
      <c r="D173" s="90"/>
      <c r="E173" s="15" t="s">
        <v>574</v>
      </c>
      <c r="F173" s="86" t="s">
        <v>575</v>
      </c>
      <c r="G173" s="59" t="s">
        <v>576</v>
      </c>
      <c r="H173" s="60"/>
      <c r="I173" s="58">
        <v>1</v>
      </c>
      <c r="J173" s="66" t="s">
        <v>43</v>
      </c>
      <c r="K173" s="67">
        <f t="shared" si="2"/>
        <v>1</v>
      </c>
      <c r="L173" s="79"/>
      <c r="M173" s="84"/>
    </row>
    <row r="174" ht="25" customHeight="1" spans="1:13">
      <c r="A174" s="181"/>
      <c r="B174" s="69"/>
      <c r="C174" s="187" t="s">
        <v>802</v>
      </c>
      <c r="D174" s="87"/>
      <c r="E174" s="52" t="s">
        <v>582</v>
      </c>
      <c r="F174" s="48" t="s">
        <v>582</v>
      </c>
      <c r="G174" s="21" t="s">
        <v>803</v>
      </c>
      <c r="H174" s="53" t="s">
        <v>804</v>
      </c>
      <c r="I174" s="48">
        <v>8</v>
      </c>
      <c r="J174" s="66" t="s">
        <v>43</v>
      </c>
      <c r="K174" s="67">
        <f t="shared" si="2"/>
        <v>8</v>
      </c>
      <c r="L174" s="68">
        <f>SUM(K174:K175)</f>
        <v>11</v>
      </c>
      <c r="M174" s="84"/>
    </row>
    <row r="175" ht="25" customHeight="1" spans="1:13">
      <c r="A175" s="181"/>
      <c r="B175" s="69"/>
      <c r="C175" s="186"/>
      <c r="D175" s="90"/>
      <c r="E175" s="52" t="s">
        <v>585</v>
      </c>
      <c r="F175" s="48" t="s">
        <v>585</v>
      </c>
      <c r="G175" s="21" t="s">
        <v>805</v>
      </c>
      <c r="H175" s="95"/>
      <c r="I175" s="48">
        <v>3</v>
      </c>
      <c r="J175" s="66" t="s">
        <v>43</v>
      </c>
      <c r="K175" s="67">
        <f t="shared" si="2"/>
        <v>3</v>
      </c>
      <c r="L175" s="70"/>
      <c r="M175" s="84"/>
    </row>
    <row r="176" ht="25" customHeight="1" spans="1:13">
      <c r="A176" s="181"/>
      <c r="B176" s="69"/>
      <c r="C176" s="188" t="s">
        <v>641</v>
      </c>
      <c r="D176" s="163"/>
      <c r="E176" s="126" t="s">
        <v>641</v>
      </c>
      <c r="F176" s="86" t="s">
        <v>641</v>
      </c>
      <c r="G176" s="183" t="s">
        <v>806</v>
      </c>
      <c r="H176" s="197"/>
      <c r="I176" s="202">
        <v>1</v>
      </c>
      <c r="J176" s="203" t="s">
        <v>43</v>
      </c>
      <c r="K176" s="79">
        <f t="shared" si="2"/>
        <v>1</v>
      </c>
      <c r="L176" s="76">
        <f>SUM(K176:K179)</f>
        <v>23</v>
      </c>
      <c r="M176" s="84"/>
    </row>
    <row r="177" ht="25" customHeight="1" spans="1:13">
      <c r="A177" s="181"/>
      <c r="B177" s="69"/>
      <c r="C177" s="52"/>
      <c r="D177" s="92"/>
      <c r="E177" s="99" t="s">
        <v>645</v>
      </c>
      <c r="F177" s="48" t="s">
        <v>646</v>
      </c>
      <c r="G177" s="21" t="s">
        <v>647</v>
      </c>
      <c r="H177" s="53" t="s">
        <v>648</v>
      </c>
      <c r="I177" s="71">
        <v>10</v>
      </c>
      <c r="J177" s="72" t="s">
        <v>43</v>
      </c>
      <c r="K177" s="75">
        <f t="shared" si="2"/>
        <v>10</v>
      </c>
      <c r="L177" s="77"/>
      <c r="M177" s="84"/>
    </row>
    <row r="178" ht="25" customHeight="1" spans="1:13">
      <c r="A178" s="181"/>
      <c r="B178" s="69"/>
      <c r="C178" s="52"/>
      <c r="D178" s="92"/>
      <c r="E178" s="99" t="s">
        <v>649</v>
      </c>
      <c r="F178" s="48" t="s">
        <v>650</v>
      </c>
      <c r="G178" s="21" t="s">
        <v>651</v>
      </c>
      <c r="H178" s="53" t="s">
        <v>652</v>
      </c>
      <c r="I178" s="71">
        <v>2</v>
      </c>
      <c r="J178" s="72" t="s">
        <v>43</v>
      </c>
      <c r="K178" s="75">
        <f t="shared" si="2"/>
        <v>2</v>
      </c>
      <c r="L178" s="77"/>
      <c r="M178" s="84"/>
    </row>
    <row r="179" ht="25" customHeight="1" spans="1:13">
      <c r="A179" s="181"/>
      <c r="B179" s="69"/>
      <c r="C179" s="52"/>
      <c r="D179" s="92"/>
      <c r="E179" s="99" t="s">
        <v>653</v>
      </c>
      <c r="F179" s="48" t="s">
        <v>654</v>
      </c>
      <c r="G179" s="21" t="s">
        <v>655</v>
      </c>
      <c r="H179" s="53" t="s">
        <v>648</v>
      </c>
      <c r="I179" s="71">
        <v>10</v>
      </c>
      <c r="J179" s="72" t="s">
        <v>43</v>
      </c>
      <c r="K179" s="75">
        <f t="shared" si="2"/>
        <v>10</v>
      </c>
      <c r="L179" s="77"/>
      <c r="M179" s="84"/>
    </row>
    <row r="180" ht="25" customHeight="1" spans="1:13">
      <c r="A180" s="181"/>
      <c r="B180" s="69"/>
      <c r="C180" s="38" t="s">
        <v>611</v>
      </c>
      <c r="D180" s="87"/>
      <c r="E180" s="52" t="s">
        <v>807</v>
      </c>
      <c r="F180" s="48" t="s">
        <v>807</v>
      </c>
      <c r="G180" s="56"/>
      <c r="H180" s="57"/>
      <c r="I180" s="80">
        <v>0</v>
      </c>
      <c r="J180" s="72" t="s">
        <v>43</v>
      </c>
      <c r="K180" s="75">
        <f t="shared" si="2"/>
        <v>0</v>
      </c>
      <c r="L180" s="78">
        <f>SUM(K180:K183)</f>
        <v>0</v>
      </c>
      <c r="M180" s="84"/>
    </row>
    <row r="181" ht="25" customHeight="1" spans="1:13">
      <c r="A181" s="181"/>
      <c r="B181" s="69"/>
      <c r="C181" s="40"/>
      <c r="D181" s="40"/>
      <c r="E181" s="52" t="s">
        <v>808</v>
      </c>
      <c r="F181" s="48" t="s">
        <v>808</v>
      </c>
      <c r="G181" s="21"/>
      <c r="H181" s="53"/>
      <c r="I181" s="80">
        <v>0</v>
      </c>
      <c r="J181" s="72" t="s">
        <v>43</v>
      </c>
      <c r="K181" s="75">
        <f t="shared" si="2"/>
        <v>0</v>
      </c>
      <c r="L181" s="77"/>
      <c r="M181" s="84"/>
    </row>
    <row r="182" ht="25" customHeight="1" spans="1:13">
      <c r="A182" s="181"/>
      <c r="B182" s="69"/>
      <c r="C182" s="40"/>
      <c r="D182" s="40"/>
      <c r="E182" s="52" t="s">
        <v>809</v>
      </c>
      <c r="F182" s="48" t="s">
        <v>809</v>
      </c>
      <c r="G182" s="21"/>
      <c r="H182" s="53"/>
      <c r="I182" s="80">
        <v>0</v>
      </c>
      <c r="J182" s="72" t="s">
        <v>43</v>
      </c>
      <c r="K182" s="75">
        <f t="shared" si="2"/>
        <v>0</v>
      </c>
      <c r="L182" s="77"/>
      <c r="M182" s="84"/>
    </row>
    <row r="183" ht="25" customHeight="1" spans="1:13">
      <c r="A183" s="181"/>
      <c r="B183" s="69"/>
      <c r="C183" s="40"/>
      <c r="D183" s="40"/>
      <c r="E183" s="52" t="s">
        <v>810</v>
      </c>
      <c r="F183" s="48" t="s">
        <v>810</v>
      </c>
      <c r="G183" s="21"/>
      <c r="H183" s="53"/>
      <c r="I183" s="80">
        <v>0</v>
      </c>
      <c r="J183" s="72" t="s">
        <v>43</v>
      </c>
      <c r="K183" s="75">
        <f t="shared" si="2"/>
        <v>0</v>
      </c>
      <c r="L183" s="77"/>
      <c r="M183" s="84"/>
    </row>
    <row r="184" ht="25" customHeight="1" spans="1:13">
      <c r="A184" s="181"/>
      <c r="B184" s="69"/>
      <c r="C184" s="52" t="s">
        <v>811</v>
      </c>
      <c r="D184" s="48"/>
      <c r="E184" s="52" t="s">
        <v>811</v>
      </c>
      <c r="F184" s="48" t="s">
        <v>588</v>
      </c>
      <c r="G184" s="56" t="s">
        <v>589</v>
      </c>
      <c r="H184" s="57"/>
      <c r="I184" s="80">
        <v>10</v>
      </c>
      <c r="J184" s="72" t="s">
        <v>43</v>
      </c>
      <c r="K184" s="73">
        <f t="shared" si="2"/>
        <v>10</v>
      </c>
      <c r="L184" s="75">
        <f>SUM(K184:K184)</f>
        <v>10</v>
      </c>
      <c r="M184" s="84"/>
    </row>
    <row r="185" ht="25" customHeight="1" spans="1:13">
      <c r="A185" s="181"/>
      <c r="B185" s="37" t="s">
        <v>812</v>
      </c>
      <c r="C185" s="102" t="s">
        <v>812</v>
      </c>
      <c r="D185" s="189"/>
      <c r="E185" s="125" t="s">
        <v>813</v>
      </c>
      <c r="F185" s="48" t="s">
        <v>813</v>
      </c>
      <c r="G185" s="56" t="s">
        <v>814</v>
      </c>
      <c r="H185" s="57"/>
      <c r="I185" s="80">
        <v>5</v>
      </c>
      <c r="J185" s="72" t="s">
        <v>43</v>
      </c>
      <c r="K185" s="73">
        <f t="shared" si="2"/>
        <v>5</v>
      </c>
      <c r="L185" s="78">
        <f>SUM(K185:K200)</f>
        <v>221</v>
      </c>
      <c r="M185" s="84"/>
    </row>
    <row r="186" ht="25" customHeight="1" spans="1:13">
      <c r="A186" s="181"/>
      <c r="B186" s="69"/>
      <c r="C186" s="67"/>
      <c r="D186" s="190"/>
      <c r="E186" s="125" t="s">
        <v>77</v>
      </c>
      <c r="F186" s="48" t="s">
        <v>77</v>
      </c>
      <c r="G186" s="56" t="s">
        <v>815</v>
      </c>
      <c r="H186" s="57"/>
      <c r="I186" s="80">
        <v>5</v>
      </c>
      <c r="J186" s="72" t="s">
        <v>43</v>
      </c>
      <c r="K186" s="73">
        <f t="shared" si="2"/>
        <v>5</v>
      </c>
      <c r="L186" s="77"/>
      <c r="M186" s="84"/>
    </row>
    <row r="187" ht="25" customHeight="1" spans="1:13">
      <c r="A187" s="181">
        <v>7</v>
      </c>
      <c r="B187" s="69"/>
      <c r="C187" s="67"/>
      <c r="D187" s="190"/>
      <c r="E187" s="125" t="s">
        <v>816</v>
      </c>
      <c r="F187" s="48" t="s">
        <v>816</v>
      </c>
      <c r="G187" s="56" t="s">
        <v>817</v>
      </c>
      <c r="H187" s="57"/>
      <c r="I187" s="80">
        <v>7</v>
      </c>
      <c r="J187" s="72" t="s">
        <v>43</v>
      </c>
      <c r="K187" s="73">
        <f t="shared" si="2"/>
        <v>7</v>
      </c>
      <c r="L187" s="77"/>
      <c r="M187" s="84"/>
    </row>
    <row r="188" ht="25" customHeight="1" spans="1:13">
      <c r="A188" s="181"/>
      <c r="B188" s="69"/>
      <c r="C188" s="67"/>
      <c r="D188" s="190"/>
      <c r="E188" s="125" t="s">
        <v>818</v>
      </c>
      <c r="F188" s="48" t="s">
        <v>818</v>
      </c>
      <c r="G188" s="52" t="s">
        <v>819</v>
      </c>
      <c r="H188" s="57"/>
      <c r="I188" s="80">
        <v>4</v>
      </c>
      <c r="J188" s="72" t="s">
        <v>43</v>
      </c>
      <c r="K188" s="73">
        <f t="shared" si="2"/>
        <v>4</v>
      </c>
      <c r="L188" s="77"/>
      <c r="M188" s="84"/>
    </row>
    <row r="189" ht="25" customHeight="1" spans="1:13">
      <c r="A189" s="181"/>
      <c r="B189" s="69"/>
      <c r="C189" s="67"/>
      <c r="D189" s="190"/>
      <c r="E189" s="125" t="s">
        <v>820</v>
      </c>
      <c r="F189" s="48" t="s">
        <v>820</v>
      </c>
      <c r="G189" s="56" t="s">
        <v>821</v>
      </c>
      <c r="H189" s="57"/>
      <c r="I189" s="80">
        <v>2</v>
      </c>
      <c r="J189" s="72" t="s">
        <v>43</v>
      </c>
      <c r="K189" s="73">
        <f t="shared" si="2"/>
        <v>2</v>
      </c>
      <c r="L189" s="77"/>
      <c r="M189" s="84"/>
    </row>
    <row r="190" ht="25" customHeight="1" spans="1:13">
      <c r="A190" s="181"/>
      <c r="B190" s="69"/>
      <c r="C190" s="67"/>
      <c r="D190" s="190"/>
      <c r="E190" s="125" t="s">
        <v>822</v>
      </c>
      <c r="F190" s="48" t="s">
        <v>822</v>
      </c>
      <c r="G190" s="56" t="s">
        <v>823</v>
      </c>
      <c r="H190" s="57"/>
      <c r="I190" s="204">
        <v>3.5</v>
      </c>
      <c r="J190" s="72" t="s">
        <v>43</v>
      </c>
      <c r="K190" s="205">
        <f t="shared" si="2"/>
        <v>3.5</v>
      </c>
      <c r="L190" s="77"/>
      <c r="M190" s="84"/>
    </row>
    <row r="191" ht="25" customHeight="1" spans="1:13">
      <c r="A191" s="181"/>
      <c r="B191" s="69"/>
      <c r="C191" s="67"/>
      <c r="D191" s="190"/>
      <c r="E191" s="125" t="s">
        <v>824</v>
      </c>
      <c r="F191" s="86" t="s">
        <v>824</v>
      </c>
      <c r="G191" s="56" t="s">
        <v>825</v>
      </c>
      <c r="H191" s="57"/>
      <c r="I191" s="80">
        <v>22</v>
      </c>
      <c r="J191" s="72" t="s">
        <v>43</v>
      </c>
      <c r="K191" s="73">
        <f t="shared" si="2"/>
        <v>22</v>
      </c>
      <c r="L191" s="77"/>
      <c r="M191" s="84"/>
    </row>
    <row r="192" ht="25" customHeight="1" spans="1:13">
      <c r="A192" s="181"/>
      <c r="B192" s="69"/>
      <c r="C192" s="67"/>
      <c r="D192" s="190"/>
      <c r="E192" s="125" t="s">
        <v>826</v>
      </c>
      <c r="F192" s="86" t="s">
        <v>826</v>
      </c>
      <c r="G192" s="56" t="s">
        <v>827</v>
      </c>
      <c r="H192" s="57"/>
      <c r="I192" s="204">
        <v>6.5</v>
      </c>
      <c r="J192" s="72" t="s">
        <v>43</v>
      </c>
      <c r="K192" s="205">
        <f t="shared" si="2"/>
        <v>6.5</v>
      </c>
      <c r="L192" s="77"/>
      <c r="M192" s="84"/>
    </row>
    <row r="193" ht="25" customHeight="1" spans="1:13">
      <c r="A193" s="181"/>
      <c r="B193" s="69"/>
      <c r="C193" s="67"/>
      <c r="D193" s="190"/>
      <c r="E193" s="125" t="s">
        <v>219</v>
      </c>
      <c r="F193" s="86" t="s">
        <v>219</v>
      </c>
      <c r="G193" s="56" t="s">
        <v>828</v>
      </c>
      <c r="H193" s="57"/>
      <c r="I193" s="80">
        <v>20</v>
      </c>
      <c r="J193" s="72" t="s">
        <v>43</v>
      </c>
      <c r="K193" s="73">
        <f t="shared" si="2"/>
        <v>20</v>
      </c>
      <c r="L193" s="77"/>
      <c r="M193" s="84"/>
    </row>
    <row r="194" ht="25" customHeight="1" spans="1:13">
      <c r="A194" s="181"/>
      <c r="B194" s="69"/>
      <c r="C194" s="67"/>
      <c r="D194" s="190"/>
      <c r="E194" s="125" t="s">
        <v>829</v>
      </c>
      <c r="F194" s="86" t="s">
        <v>829</v>
      </c>
      <c r="G194" s="56" t="s">
        <v>830</v>
      </c>
      <c r="H194" s="57"/>
      <c r="I194" s="80">
        <v>73</v>
      </c>
      <c r="J194" s="72" t="s">
        <v>43</v>
      </c>
      <c r="K194" s="73">
        <f t="shared" si="2"/>
        <v>73</v>
      </c>
      <c r="L194" s="77"/>
      <c r="M194" s="84"/>
    </row>
    <row r="195" ht="25" customHeight="1" spans="1:13">
      <c r="A195" s="181"/>
      <c r="B195" s="69"/>
      <c r="C195" s="67"/>
      <c r="D195" s="190"/>
      <c r="E195" s="125" t="s">
        <v>831</v>
      </c>
      <c r="F195" s="86" t="s">
        <v>831</v>
      </c>
      <c r="G195" s="56" t="s">
        <v>832</v>
      </c>
      <c r="H195" s="57"/>
      <c r="I195" s="80">
        <v>4</v>
      </c>
      <c r="J195" s="72" t="s">
        <v>43</v>
      </c>
      <c r="K195" s="73">
        <f t="shared" ref="K195:K215" si="3">IF(J195&lt;&gt;0,I195,0)</f>
        <v>4</v>
      </c>
      <c r="L195" s="77"/>
      <c r="M195" s="84"/>
    </row>
    <row r="196" ht="25" customHeight="1" spans="1:13">
      <c r="A196" s="181"/>
      <c r="B196" s="69"/>
      <c r="C196" s="67"/>
      <c r="D196" s="190"/>
      <c r="E196" s="125" t="s">
        <v>833</v>
      </c>
      <c r="F196" s="86" t="s">
        <v>833</v>
      </c>
      <c r="G196" s="56" t="s">
        <v>834</v>
      </c>
      <c r="H196" s="57"/>
      <c r="I196" s="80">
        <v>8</v>
      </c>
      <c r="J196" s="72" t="s">
        <v>43</v>
      </c>
      <c r="K196" s="73">
        <f t="shared" si="3"/>
        <v>8</v>
      </c>
      <c r="L196" s="77"/>
      <c r="M196" s="84"/>
    </row>
    <row r="197" ht="25" customHeight="1" spans="1:13">
      <c r="A197" s="181"/>
      <c r="B197" s="69"/>
      <c r="C197" s="67"/>
      <c r="D197" s="190"/>
      <c r="E197" s="125" t="s">
        <v>125</v>
      </c>
      <c r="F197" s="86" t="s">
        <v>125</v>
      </c>
      <c r="G197" s="56" t="s">
        <v>835</v>
      </c>
      <c r="H197" s="57"/>
      <c r="I197" s="80">
        <v>24</v>
      </c>
      <c r="J197" s="72" t="s">
        <v>43</v>
      </c>
      <c r="K197" s="73">
        <f t="shared" si="3"/>
        <v>24</v>
      </c>
      <c r="L197" s="77"/>
      <c r="M197" s="84"/>
    </row>
    <row r="198" ht="25" customHeight="1" spans="1:13">
      <c r="A198" s="181"/>
      <c r="B198" s="69"/>
      <c r="C198" s="67"/>
      <c r="D198" s="190"/>
      <c r="E198" s="125" t="s">
        <v>836</v>
      </c>
      <c r="F198" s="86" t="s">
        <v>836</v>
      </c>
      <c r="G198" s="56" t="s">
        <v>837</v>
      </c>
      <c r="H198" s="57"/>
      <c r="I198" s="80">
        <v>30</v>
      </c>
      <c r="J198" s="72" t="s">
        <v>43</v>
      </c>
      <c r="K198" s="73">
        <f t="shared" si="3"/>
        <v>30</v>
      </c>
      <c r="L198" s="77"/>
      <c r="M198" s="84"/>
    </row>
    <row r="199" ht="25" customHeight="1" spans="1:13">
      <c r="A199" s="181"/>
      <c r="B199" s="69"/>
      <c r="C199" s="67"/>
      <c r="D199" s="190"/>
      <c r="E199" s="125" t="s">
        <v>838</v>
      </c>
      <c r="F199" s="86" t="s">
        <v>838</v>
      </c>
      <c r="G199" s="56" t="s">
        <v>839</v>
      </c>
      <c r="H199" s="57"/>
      <c r="I199" s="80">
        <v>4</v>
      </c>
      <c r="J199" s="72" t="s">
        <v>43</v>
      </c>
      <c r="K199" s="73">
        <f t="shared" si="3"/>
        <v>4</v>
      </c>
      <c r="L199" s="77"/>
      <c r="M199" s="84"/>
    </row>
    <row r="200" ht="25" customHeight="1" spans="1:13">
      <c r="A200" s="181"/>
      <c r="B200" s="70"/>
      <c r="C200" s="67"/>
      <c r="D200" s="190"/>
      <c r="E200" s="125" t="s">
        <v>840</v>
      </c>
      <c r="F200" s="86" t="s">
        <v>840</v>
      </c>
      <c r="G200" s="56" t="s">
        <v>841</v>
      </c>
      <c r="H200" s="57"/>
      <c r="I200" s="80">
        <v>3</v>
      </c>
      <c r="J200" s="72" t="s">
        <v>43</v>
      </c>
      <c r="K200" s="73">
        <f t="shared" si="3"/>
        <v>3</v>
      </c>
      <c r="L200" s="79"/>
      <c r="M200" s="84"/>
    </row>
    <row r="201" ht="25" customHeight="1" spans="1:13">
      <c r="A201" s="181"/>
      <c r="B201" s="47" t="s">
        <v>671</v>
      </c>
      <c r="C201" s="91" t="s">
        <v>671</v>
      </c>
      <c r="D201" s="38"/>
      <c r="E201" s="90" t="s">
        <v>672</v>
      </c>
      <c r="F201" s="48" t="s">
        <v>673</v>
      </c>
      <c r="G201" s="21" t="s">
        <v>674</v>
      </c>
      <c r="H201" s="53" t="s">
        <v>675</v>
      </c>
      <c r="I201" s="71">
        <v>6</v>
      </c>
      <c r="J201" s="72" t="s">
        <v>43</v>
      </c>
      <c r="K201" s="75">
        <f t="shared" si="3"/>
        <v>6</v>
      </c>
      <c r="L201" s="74">
        <f>SUM(K201:K211)</f>
        <v>53</v>
      </c>
      <c r="M201" s="84"/>
    </row>
    <row r="202" ht="25" customHeight="1" spans="1:13">
      <c r="A202" s="181"/>
      <c r="B202" s="48"/>
      <c r="C202" s="85"/>
      <c r="D202" s="40"/>
      <c r="E202" s="52" t="s">
        <v>676</v>
      </c>
      <c r="F202" s="48" t="s">
        <v>677</v>
      </c>
      <c r="G202" s="21" t="s">
        <v>678</v>
      </c>
      <c r="H202" s="53" t="s">
        <v>679</v>
      </c>
      <c r="I202" s="71">
        <v>5</v>
      </c>
      <c r="J202" s="72" t="s">
        <v>43</v>
      </c>
      <c r="K202" s="75">
        <f t="shared" si="3"/>
        <v>5</v>
      </c>
      <c r="L202" s="75"/>
      <c r="M202" s="84"/>
    </row>
    <row r="203" ht="25" customHeight="1" spans="1:13">
      <c r="A203" s="181"/>
      <c r="B203" s="48"/>
      <c r="C203" s="85"/>
      <c r="D203" s="40"/>
      <c r="E203" s="52" t="s">
        <v>842</v>
      </c>
      <c r="F203" s="48" t="s">
        <v>843</v>
      </c>
      <c r="G203" s="21" t="s">
        <v>844</v>
      </c>
      <c r="H203" s="53" t="s">
        <v>845</v>
      </c>
      <c r="I203" s="71">
        <v>10</v>
      </c>
      <c r="J203" s="72" t="s">
        <v>43</v>
      </c>
      <c r="K203" s="75">
        <f t="shared" si="3"/>
        <v>10</v>
      </c>
      <c r="L203" s="75"/>
      <c r="M203" s="84"/>
    </row>
    <row r="204" ht="25" customHeight="1" spans="1:13">
      <c r="A204" s="181"/>
      <c r="B204" s="48"/>
      <c r="C204" s="85"/>
      <c r="D204" s="40"/>
      <c r="E204" s="52" t="s">
        <v>680</v>
      </c>
      <c r="F204" s="48" t="s">
        <v>681</v>
      </c>
      <c r="G204" s="21" t="s">
        <v>682</v>
      </c>
      <c r="H204" s="53" t="s">
        <v>683</v>
      </c>
      <c r="I204" s="71">
        <v>5</v>
      </c>
      <c r="J204" s="72" t="s">
        <v>43</v>
      </c>
      <c r="K204" s="75">
        <f t="shared" si="3"/>
        <v>5</v>
      </c>
      <c r="L204" s="75"/>
      <c r="M204" s="84"/>
    </row>
    <row r="205" ht="25" customHeight="1" spans="1:13">
      <c r="A205" s="181"/>
      <c r="B205" s="48"/>
      <c r="C205" s="85"/>
      <c r="D205" s="40"/>
      <c r="E205" s="52" t="s">
        <v>684</v>
      </c>
      <c r="F205" s="48"/>
      <c r="G205" s="21" t="s">
        <v>685</v>
      </c>
      <c r="H205" s="53" t="s">
        <v>686</v>
      </c>
      <c r="I205" s="71">
        <v>6</v>
      </c>
      <c r="J205" s="72" t="s">
        <v>43</v>
      </c>
      <c r="K205" s="75">
        <f t="shared" si="3"/>
        <v>6</v>
      </c>
      <c r="L205" s="75"/>
      <c r="M205" s="84"/>
    </row>
    <row r="206" ht="25" customHeight="1" spans="1:13">
      <c r="A206" s="181"/>
      <c r="B206" s="48"/>
      <c r="C206" s="85"/>
      <c r="D206" s="40"/>
      <c r="E206" s="52" t="s">
        <v>687</v>
      </c>
      <c r="F206" s="48" t="s">
        <v>688</v>
      </c>
      <c r="G206" s="21" t="s">
        <v>689</v>
      </c>
      <c r="H206" s="53" t="s">
        <v>690</v>
      </c>
      <c r="I206" s="71">
        <v>3</v>
      </c>
      <c r="J206" s="72" t="s">
        <v>43</v>
      </c>
      <c r="K206" s="75">
        <f t="shared" si="3"/>
        <v>3</v>
      </c>
      <c r="L206" s="75"/>
      <c r="M206" s="84"/>
    </row>
    <row r="207" ht="25" customHeight="1" spans="1:13">
      <c r="A207" s="181"/>
      <c r="B207" s="48"/>
      <c r="C207" s="85"/>
      <c r="D207" s="40"/>
      <c r="E207" s="52" t="s">
        <v>691</v>
      </c>
      <c r="F207" s="48" t="s">
        <v>688</v>
      </c>
      <c r="G207" s="21" t="s">
        <v>692</v>
      </c>
      <c r="H207" s="53" t="s">
        <v>693</v>
      </c>
      <c r="I207" s="71">
        <v>4</v>
      </c>
      <c r="J207" s="72" t="s">
        <v>43</v>
      </c>
      <c r="K207" s="75">
        <f t="shared" si="3"/>
        <v>4</v>
      </c>
      <c r="L207" s="75"/>
      <c r="M207" s="84"/>
    </row>
    <row r="208" ht="25" customHeight="1" spans="1:13">
      <c r="A208" s="181"/>
      <c r="B208" s="48"/>
      <c r="C208" s="85"/>
      <c r="D208" s="40"/>
      <c r="E208" s="52" t="s">
        <v>694</v>
      </c>
      <c r="F208" s="48" t="s">
        <v>695</v>
      </c>
      <c r="G208" s="21" t="s">
        <v>692</v>
      </c>
      <c r="H208" s="53" t="s">
        <v>696</v>
      </c>
      <c r="I208" s="71">
        <v>3</v>
      </c>
      <c r="J208" s="72" t="s">
        <v>43</v>
      </c>
      <c r="K208" s="75">
        <f t="shared" si="3"/>
        <v>3</v>
      </c>
      <c r="L208" s="75"/>
      <c r="M208" s="84"/>
    </row>
    <row r="209" ht="25" customHeight="1" spans="1:13">
      <c r="A209" s="181"/>
      <c r="B209" s="48"/>
      <c r="C209" s="85"/>
      <c r="D209" s="40"/>
      <c r="E209" s="52" t="s">
        <v>697</v>
      </c>
      <c r="F209" s="48" t="s">
        <v>698</v>
      </c>
      <c r="G209" s="21" t="s">
        <v>699</v>
      </c>
      <c r="H209" s="53" t="s">
        <v>700</v>
      </c>
      <c r="I209" s="112"/>
      <c r="J209" s="72" t="s">
        <v>43</v>
      </c>
      <c r="K209" s="75">
        <f t="shared" si="3"/>
        <v>0</v>
      </c>
      <c r="L209" s="75"/>
      <c r="M209" s="84"/>
    </row>
    <row r="210" ht="25" customHeight="1" spans="1:13">
      <c r="A210" s="181"/>
      <c r="B210" s="48"/>
      <c r="C210" s="85"/>
      <c r="D210" s="40"/>
      <c r="E210" s="52" t="s">
        <v>701</v>
      </c>
      <c r="F210" s="48" t="s">
        <v>702</v>
      </c>
      <c r="G210" s="21" t="s">
        <v>703</v>
      </c>
      <c r="H210" s="53" t="s">
        <v>704</v>
      </c>
      <c r="I210" s="71">
        <v>8</v>
      </c>
      <c r="J210" s="72" t="s">
        <v>43</v>
      </c>
      <c r="K210" s="75">
        <f t="shared" si="3"/>
        <v>8</v>
      </c>
      <c r="L210" s="75"/>
      <c r="M210" s="84"/>
    </row>
    <row r="211" ht="25" customHeight="1" spans="1:13">
      <c r="A211" s="181"/>
      <c r="B211" s="48"/>
      <c r="C211" s="86"/>
      <c r="D211" s="90"/>
      <c r="E211" s="90" t="s">
        <v>713</v>
      </c>
      <c r="F211" s="48" t="s">
        <v>714</v>
      </c>
      <c r="G211" s="21" t="s">
        <v>715</v>
      </c>
      <c r="H211" s="53" t="s">
        <v>716</v>
      </c>
      <c r="I211" s="71">
        <v>3</v>
      </c>
      <c r="J211" s="72" t="s">
        <v>43</v>
      </c>
      <c r="K211" s="75">
        <f t="shared" si="3"/>
        <v>3</v>
      </c>
      <c r="L211" s="75"/>
      <c r="M211" s="84"/>
    </row>
    <row r="212" ht="25" customHeight="1" spans="1:13">
      <c r="A212" s="181"/>
      <c r="B212" s="102" t="s">
        <v>662</v>
      </c>
      <c r="C212" s="90" t="s">
        <v>663</v>
      </c>
      <c r="D212" s="86"/>
      <c r="E212" s="90" t="s">
        <v>663</v>
      </c>
      <c r="F212" s="48" t="s">
        <v>663</v>
      </c>
      <c r="G212" s="56" t="s">
        <v>664</v>
      </c>
      <c r="H212" s="57" t="s">
        <v>665</v>
      </c>
      <c r="I212" s="80">
        <v>3</v>
      </c>
      <c r="J212" s="72" t="s">
        <v>43</v>
      </c>
      <c r="K212" s="75">
        <f t="shared" si="3"/>
        <v>3</v>
      </c>
      <c r="L212" s="75">
        <f>SUM(K212:K212)</f>
        <v>3</v>
      </c>
      <c r="M212" s="84"/>
    </row>
    <row r="213" ht="25" customHeight="1" spans="1:13">
      <c r="A213" s="181"/>
      <c r="B213" s="100"/>
      <c r="C213" s="52" t="s">
        <v>666</v>
      </c>
      <c r="D213" s="86"/>
      <c r="E213" s="90" t="s">
        <v>666</v>
      </c>
      <c r="F213" s="86" t="s">
        <v>666</v>
      </c>
      <c r="G213" s="59" t="s">
        <v>667</v>
      </c>
      <c r="H213" s="60" t="s">
        <v>668</v>
      </c>
      <c r="I213" s="81">
        <v>3</v>
      </c>
      <c r="J213" s="72" t="s">
        <v>43</v>
      </c>
      <c r="K213" s="75">
        <f t="shared" si="3"/>
        <v>3</v>
      </c>
      <c r="L213" s="75">
        <f>SUM(K213:K213)</f>
        <v>3</v>
      </c>
      <c r="M213" s="84"/>
    </row>
    <row r="214" ht="25" customHeight="1" spans="1:13">
      <c r="A214" s="181"/>
      <c r="B214" s="100"/>
      <c r="C214" s="52" t="s">
        <v>669</v>
      </c>
      <c r="D214" s="86"/>
      <c r="E214" s="90" t="s">
        <v>669</v>
      </c>
      <c r="F214" s="86" t="s">
        <v>669</v>
      </c>
      <c r="G214" s="59" t="s">
        <v>670</v>
      </c>
      <c r="H214" s="60"/>
      <c r="I214" s="81">
        <v>2</v>
      </c>
      <c r="J214" s="72" t="s">
        <v>43</v>
      </c>
      <c r="K214" s="75">
        <f t="shared" si="3"/>
        <v>2</v>
      </c>
      <c r="L214" s="75">
        <f>SUM(K214:K214)</f>
        <v>2</v>
      </c>
      <c r="M214" s="84"/>
    </row>
    <row r="215" ht="25" customHeight="1" spans="1:13">
      <c r="A215" s="181"/>
      <c r="B215" s="100" t="s">
        <v>717</v>
      </c>
      <c r="C215" s="52" t="s">
        <v>718</v>
      </c>
      <c r="D215" s="86"/>
      <c r="E215" s="90" t="s">
        <v>719</v>
      </c>
      <c r="F215" s="86" t="s">
        <v>719</v>
      </c>
      <c r="G215" s="59" t="s">
        <v>720</v>
      </c>
      <c r="H215" s="60" t="s">
        <v>721</v>
      </c>
      <c r="I215" s="81">
        <v>5</v>
      </c>
      <c r="J215" s="72" t="s">
        <v>43</v>
      </c>
      <c r="K215" s="75">
        <f t="shared" si="3"/>
        <v>5</v>
      </c>
      <c r="L215" s="75">
        <f>SUM(K215:K215)</f>
        <v>5</v>
      </c>
      <c r="M215" s="84"/>
    </row>
    <row r="216" ht="25" customHeight="1" spans="1:13">
      <c r="A216" s="181"/>
      <c r="B216" s="103" t="s">
        <v>722</v>
      </c>
      <c r="C216" s="103"/>
      <c r="D216" s="103"/>
      <c r="E216" s="103"/>
      <c r="F216" s="105"/>
      <c r="G216" s="106"/>
      <c r="H216" s="105"/>
      <c r="I216" s="113"/>
      <c r="J216" s="103"/>
      <c r="K216" s="114"/>
      <c r="L216" s="115">
        <f>SUM(K3:K215)</f>
        <v>1195</v>
      </c>
      <c r="M216" s="84"/>
    </row>
    <row r="217" ht="25" customHeight="1" spans="1:13">
      <c r="A217" s="181"/>
      <c r="B217" s="16" t="s">
        <v>723</v>
      </c>
      <c r="C217" s="16" t="s">
        <v>724</v>
      </c>
      <c r="D217" s="16"/>
      <c r="E217" s="16"/>
      <c r="F217" s="107">
        <v>50</v>
      </c>
      <c r="G217" s="52" t="s">
        <v>725</v>
      </c>
      <c r="H217" s="48">
        <f>IF(F217&lt;=50,0,IF(F217&lt;71,INT((L216*0.05+0.99)),IF(F217&lt;91,INT((L216*0.1+0.99)),IF(F217&lt;131,INT((L216*0.15+0.99)),IF(F217&lt;1001,INT((L216*0.25+0.99)))))))</f>
        <v>0</v>
      </c>
      <c r="I217" s="112"/>
      <c r="J217" s="72" t="s">
        <v>43</v>
      </c>
      <c r="K217" s="116"/>
      <c r="L217" s="75">
        <f>H217</f>
        <v>0</v>
      </c>
      <c r="M217" s="84"/>
    </row>
    <row r="218" ht="25" customHeight="1" spans="1:13">
      <c r="A218" s="181"/>
      <c r="B218" s="103" t="s">
        <v>722</v>
      </c>
      <c r="C218" s="103"/>
      <c r="D218" s="103"/>
      <c r="E218" s="103"/>
      <c r="F218" s="105"/>
      <c r="G218" s="106"/>
      <c r="H218" s="105"/>
      <c r="I218" s="113"/>
      <c r="J218" s="103"/>
      <c r="K218" s="114"/>
      <c r="L218" s="115">
        <f>L216+L217</f>
        <v>1195</v>
      </c>
      <c r="M218" s="84"/>
    </row>
    <row r="219" ht="25" customHeight="1" spans="1:13">
      <c r="A219" s="181"/>
      <c r="B219" s="16"/>
      <c r="C219" s="16" t="s">
        <v>444</v>
      </c>
      <c r="D219" s="16"/>
      <c r="E219" s="16"/>
      <c r="F219" s="48" t="s">
        <v>726</v>
      </c>
      <c r="G219" s="52" t="s">
        <v>727</v>
      </c>
      <c r="H219" s="48" t="s">
        <v>728</v>
      </c>
      <c r="I219" s="117">
        <v>0</v>
      </c>
      <c r="J219" s="72" t="s">
        <v>43</v>
      </c>
      <c r="K219" s="116"/>
      <c r="L219" s="75">
        <f>L218*I219</f>
        <v>0</v>
      </c>
      <c r="M219" s="84"/>
    </row>
    <row r="220" ht="25" customHeight="1" spans="1:13">
      <c r="A220" s="181"/>
      <c r="B220" s="103" t="s">
        <v>722</v>
      </c>
      <c r="C220" s="103"/>
      <c r="D220" s="103"/>
      <c r="E220" s="103"/>
      <c r="F220" s="105"/>
      <c r="G220" s="106"/>
      <c r="H220" s="105"/>
      <c r="I220" s="113"/>
      <c r="J220" s="103"/>
      <c r="K220" s="114"/>
      <c r="L220" s="115">
        <f>L218+L219</f>
        <v>1195</v>
      </c>
      <c r="M220" s="84"/>
    </row>
    <row r="221" ht="25" customHeight="1" spans="1:13">
      <c r="A221" s="181"/>
      <c r="B221" s="15"/>
      <c r="C221" s="16" t="s">
        <v>729</v>
      </c>
      <c r="D221" s="16"/>
      <c r="E221" s="16"/>
      <c r="F221" s="48" t="s">
        <v>730</v>
      </c>
      <c r="G221" s="52" t="s">
        <v>731</v>
      </c>
      <c r="H221" s="48" t="s">
        <v>732</v>
      </c>
      <c r="I221" s="117">
        <v>0.1</v>
      </c>
      <c r="J221" s="72" t="s">
        <v>43</v>
      </c>
      <c r="K221" s="118">
        <v>0</v>
      </c>
      <c r="L221" s="75">
        <f>L220*K221*I221</f>
        <v>0</v>
      </c>
      <c r="M221" s="84"/>
    </row>
    <row r="222" ht="25" customHeight="1" spans="1:13">
      <c r="A222" s="181"/>
      <c r="B222" s="103" t="s">
        <v>733</v>
      </c>
      <c r="C222" s="103"/>
      <c r="D222" s="103"/>
      <c r="E222" s="103"/>
      <c r="F222" s="105"/>
      <c r="G222" s="106"/>
      <c r="H222" s="105"/>
      <c r="I222" s="113"/>
      <c r="J222" s="103"/>
      <c r="K222" s="114"/>
      <c r="L222" s="115">
        <f>SUM(L220:L221)</f>
        <v>1195</v>
      </c>
      <c r="M222" s="84"/>
    </row>
    <row r="223" ht="17.25" customHeight="1" spans="1:12">
      <c r="A223" s="206"/>
      <c r="B223" s="104"/>
      <c r="C223" s="104"/>
      <c r="D223" s="104"/>
      <c r="E223" s="104"/>
      <c r="F223" s="108"/>
      <c r="G223" s="108"/>
      <c r="H223" s="108"/>
      <c r="I223" s="119"/>
      <c r="J223" s="120"/>
      <c r="K223" s="119"/>
      <c r="L223" s="119"/>
    </row>
    <row r="224" s="1" customFormat="1" ht="17.25" customHeight="1" spans="1:12">
      <c r="A224" s="30"/>
      <c r="F224" s="29"/>
      <c r="H224" s="109"/>
      <c r="I224" s="121"/>
      <c r="K224" s="122"/>
      <c r="L224" s="30"/>
    </row>
    <row r="225" s="1" customFormat="1" ht="17.25" customHeight="1" spans="1:12">
      <c r="A225" s="30"/>
      <c r="F225" s="110"/>
      <c r="H225" s="30"/>
      <c r="I225" s="121"/>
      <c r="K225" s="122"/>
      <c r="L225" s="30"/>
    </row>
    <row r="226" s="1" customFormat="1" ht="17.25" customHeight="1" spans="1:12">
      <c r="A226" s="30"/>
      <c r="F226" s="111"/>
      <c r="H226" s="30"/>
      <c r="I226" s="121"/>
      <c r="K226" s="122"/>
      <c r="L226" s="30"/>
    </row>
  </sheetData>
  <mergeCells count="69">
    <mergeCell ref="B1:L1"/>
    <mergeCell ref="B216:K216"/>
    <mergeCell ref="B218:K218"/>
    <mergeCell ref="B220:K220"/>
    <mergeCell ref="B222:K222"/>
    <mergeCell ref="B3:B95"/>
    <mergeCell ref="B96:B184"/>
    <mergeCell ref="B185:B200"/>
    <mergeCell ref="B201:B211"/>
    <mergeCell ref="B212:B214"/>
    <mergeCell ref="C3:C95"/>
    <mergeCell ref="C96:C106"/>
    <mergeCell ref="C107:C131"/>
    <mergeCell ref="C132:C137"/>
    <mergeCell ref="C138:C139"/>
    <mergeCell ref="C140:C149"/>
    <mergeCell ref="C150:C151"/>
    <mergeCell ref="C152:C158"/>
    <mergeCell ref="C159:C170"/>
    <mergeCell ref="C171:C173"/>
    <mergeCell ref="C174:C175"/>
    <mergeCell ref="C176:C179"/>
    <mergeCell ref="C180:C183"/>
    <mergeCell ref="C185:C200"/>
    <mergeCell ref="C201:C211"/>
    <mergeCell ref="D3:D6"/>
    <mergeCell ref="D7:D19"/>
    <mergeCell ref="D20:D34"/>
    <mergeCell ref="D35:D46"/>
    <mergeCell ref="D47:D54"/>
    <mergeCell ref="D55:D69"/>
    <mergeCell ref="D70:D91"/>
    <mergeCell ref="D92:D93"/>
    <mergeCell ref="D94:D95"/>
    <mergeCell ref="D176:D179"/>
    <mergeCell ref="D201:D211"/>
    <mergeCell ref="E8:E10"/>
    <mergeCell ref="E20:E22"/>
    <mergeCell ref="E23:E27"/>
    <mergeCell ref="E28:E31"/>
    <mergeCell ref="E36:E37"/>
    <mergeCell ref="E40:E41"/>
    <mergeCell ref="E47:E53"/>
    <mergeCell ref="E79:E83"/>
    <mergeCell ref="E84:E87"/>
    <mergeCell ref="E88:E91"/>
    <mergeCell ref="L3:L6"/>
    <mergeCell ref="L7:L19"/>
    <mergeCell ref="L20:L34"/>
    <mergeCell ref="L35:L46"/>
    <mergeCell ref="L47:L54"/>
    <mergeCell ref="L55:L69"/>
    <mergeCell ref="L70:L91"/>
    <mergeCell ref="L92:L93"/>
    <mergeCell ref="L94:L95"/>
    <mergeCell ref="L96:L106"/>
    <mergeCell ref="L107:L131"/>
    <mergeCell ref="L132:L137"/>
    <mergeCell ref="L138:L139"/>
    <mergeCell ref="L140:L149"/>
    <mergeCell ref="L150:L151"/>
    <mergeCell ref="L152:L158"/>
    <mergeCell ref="L159:L170"/>
    <mergeCell ref="L171:L173"/>
    <mergeCell ref="L174:L175"/>
    <mergeCell ref="L176:L179"/>
    <mergeCell ref="L180:L183"/>
    <mergeCell ref="L185:L200"/>
    <mergeCell ref="L201:L21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M208"/>
  <sheetViews>
    <sheetView workbookViewId="0">
      <pane ySplit="2" topLeftCell="A3" activePane="bottomLeft" state="frozen"/>
      <selection/>
      <selection pane="bottomLeft" activeCell="A1" sqref="A1"/>
    </sheetView>
  </sheetViews>
  <sheetFormatPr defaultColWidth="9" defaultRowHeight="16.8"/>
  <cols>
    <col min="1" max="1" width="1.86538461538462" style="28" customWidth="1"/>
    <col min="2" max="2" width="11.4326923076923" style="28" customWidth="1"/>
    <col min="3" max="3" width="18.1442307692308" style="28" customWidth="1"/>
    <col min="4" max="4" width="14.8653846153846" style="28" customWidth="1"/>
    <col min="5" max="5" width="21.2884615384615" style="28" customWidth="1"/>
    <col min="6" max="6" width="22.2884615384615" style="29" customWidth="1"/>
    <col min="7" max="7" width="65.0096153846154" style="1" customWidth="1"/>
    <col min="8" max="8" width="37.1442307692308" style="30" customWidth="1"/>
    <col min="9" max="9" width="12.8653846153846" style="31" customWidth="1"/>
    <col min="10" max="10" width="9.86538461538461" style="28" customWidth="1"/>
    <col min="11" max="11" width="7.43269230769231" style="32" customWidth="1"/>
    <col min="12" max="12" width="10.2884615384615" style="33" customWidth="1"/>
    <col min="13" max="13" width="12.4326923076923" style="28" customWidth="1"/>
  </cols>
  <sheetData>
    <row r="1" ht="21" customHeight="1" spans="1:12">
      <c r="A1" s="34"/>
      <c r="B1" s="35"/>
      <c r="C1" s="35"/>
      <c r="D1" s="35"/>
      <c r="E1" s="35"/>
      <c r="F1" s="49"/>
      <c r="G1" s="154"/>
      <c r="H1" s="155"/>
      <c r="I1" s="61"/>
      <c r="J1" s="35"/>
      <c r="K1" s="62"/>
      <c r="L1" s="63"/>
    </row>
    <row r="2" s="1" customFormat="1" ht="17.25" customHeight="1" spans="1:13">
      <c r="A2" s="36"/>
      <c r="B2" s="4" t="s">
        <v>28</v>
      </c>
      <c r="C2" s="4" t="s">
        <v>29</v>
      </c>
      <c r="D2" s="4" t="s">
        <v>734</v>
      </c>
      <c r="E2" s="4" t="s">
        <v>735</v>
      </c>
      <c r="F2" s="156" t="s">
        <v>30</v>
      </c>
      <c r="G2" s="157" t="s">
        <v>31</v>
      </c>
      <c r="H2" s="158" t="s">
        <v>32</v>
      </c>
      <c r="I2" s="159" t="s">
        <v>33</v>
      </c>
      <c r="J2" s="4" t="s">
        <v>34</v>
      </c>
      <c r="K2" s="65" t="s">
        <v>35</v>
      </c>
      <c r="L2" s="51" t="s">
        <v>36</v>
      </c>
      <c r="M2" s="82"/>
    </row>
    <row r="3" ht="18.75" customHeight="1" spans="1:13">
      <c r="A3" s="41"/>
      <c r="B3" s="152" t="s">
        <v>736</v>
      </c>
      <c r="C3" s="44" t="s">
        <v>846</v>
      </c>
      <c r="D3" s="44" t="s">
        <v>738</v>
      </c>
      <c r="E3" s="52" t="s">
        <v>739</v>
      </c>
      <c r="F3" s="48" t="s">
        <v>739</v>
      </c>
      <c r="G3" s="21"/>
      <c r="H3" s="53"/>
      <c r="I3" s="71">
        <v>0</v>
      </c>
      <c r="J3" s="72" t="s">
        <v>43</v>
      </c>
      <c r="K3" s="75">
        <f t="shared" ref="K3:K66" si="0">IF(J3&lt;&gt;0,I3,0)</f>
        <v>0</v>
      </c>
      <c r="L3" s="78">
        <f>SUM(K3:K6)</f>
        <v>0</v>
      </c>
      <c r="M3" s="83"/>
    </row>
    <row r="4" ht="18.75" customHeight="1" spans="1:13">
      <c r="A4" s="41"/>
      <c r="B4" s="42"/>
      <c r="C4" s="43"/>
      <c r="D4" s="43"/>
      <c r="E4" s="52" t="s">
        <v>596</v>
      </c>
      <c r="F4" s="48" t="s">
        <v>596</v>
      </c>
      <c r="G4" s="21"/>
      <c r="H4" s="53"/>
      <c r="I4" s="71">
        <v>0</v>
      </c>
      <c r="J4" s="72" t="s">
        <v>43</v>
      </c>
      <c r="K4" s="75">
        <f t="shared" si="0"/>
        <v>0</v>
      </c>
      <c r="L4" s="77"/>
      <c r="M4" s="83"/>
    </row>
    <row r="5" ht="18.75" customHeight="1" spans="1:13">
      <c r="A5" s="41"/>
      <c r="B5" s="42"/>
      <c r="C5" s="43"/>
      <c r="D5" s="43"/>
      <c r="E5" s="52" t="s">
        <v>740</v>
      </c>
      <c r="F5" s="48" t="s">
        <v>740</v>
      </c>
      <c r="G5" s="21"/>
      <c r="H5" s="53"/>
      <c r="I5" s="71">
        <v>0</v>
      </c>
      <c r="J5" s="72" t="s">
        <v>43</v>
      </c>
      <c r="K5" s="75">
        <f t="shared" si="0"/>
        <v>0</v>
      </c>
      <c r="L5" s="77"/>
      <c r="M5" s="83"/>
    </row>
    <row r="6" ht="18.75" customHeight="1" spans="1:13">
      <c r="A6" s="41"/>
      <c r="B6" s="42"/>
      <c r="C6" s="43"/>
      <c r="D6" s="43"/>
      <c r="E6" s="52" t="s">
        <v>741</v>
      </c>
      <c r="F6" s="48" t="s">
        <v>741</v>
      </c>
      <c r="G6" s="21"/>
      <c r="H6" s="53"/>
      <c r="I6" s="71">
        <v>0</v>
      </c>
      <c r="J6" s="72" t="s">
        <v>43</v>
      </c>
      <c r="K6" s="75">
        <f t="shared" si="0"/>
        <v>0</v>
      </c>
      <c r="L6" s="79"/>
      <c r="M6" s="83"/>
    </row>
    <row r="7" ht="68.25" customHeight="1" spans="1:13">
      <c r="A7" s="41"/>
      <c r="B7" s="42"/>
      <c r="C7" s="43"/>
      <c r="D7" s="44" t="s">
        <v>92</v>
      </c>
      <c r="E7" s="52" t="s">
        <v>93</v>
      </c>
      <c r="F7" s="48" t="s">
        <v>94</v>
      </c>
      <c r="G7" s="21" t="s">
        <v>95</v>
      </c>
      <c r="H7" s="53" t="s">
        <v>96</v>
      </c>
      <c r="I7" s="71">
        <v>2</v>
      </c>
      <c r="J7" s="72" t="s">
        <v>43</v>
      </c>
      <c r="K7" s="75">
        <f t="shared" si="0"/>
        <v>2</v>
      </c>
      <c r="L7" s="74">
        <f>SUM(K7:K22)</f>
        <v>44</v>
      </c>
      <c r="M7" s="83"/>
    </row>
    <row r="8" ht="30.75" customHeight="1" spans="1:13">
      <c r="A8" s="41"/>
      <c r="B8" s="42"/>
      <c r="C8" s="43"/>
      <c r="D8" s="43"/>
      <c r="E8" s="15" t="s">
        <v>119</v>
      </c>
      <c r="F8" s="48" t="s">
        <v>120</v>
      </c>
      <c r="G8" s="21" t="s">
        <v>121</v>
      </c>
      <c r="H8" s="53" t="s">
        <v>122</v>
      </c>
      <c r="I8" s="71">
        <v>2</v>
      </c>
      <c r="J8" s="72" t="s">
        <v>43</v>
      </c>
      <c r="K8" s="75">
        <f t="shared" si="0"/>
        <v>2</v>
      </c>
      <c r="L8" s="75"/>
      <c r="M8" s="83"/>
    </row>
    <row r="9" ht="30.75" customHeight="1" spans="1:13">
      <c r="A9" s="41"/>
      <c r="B9" s="42"/>
      <c r="C9" s="43"/>
      <c r="D9" s="43"/>
      <c r="E9" s="55" t="s">
        <v>103</v>
      </c>
      <c r="F9" s="48" t="s">
        <v>104</v>
      </c>
      <c r="G9" s="21" t="s">
        <v>105</v>
      </c>
      <c r="H9" s="53" t="s">
        <v>106</v>
      </c>
      <c r="I9" s="71">
        <v>2</v>
      </c>
      <c r="J9" s="72" t="s">
        <v>43</v>
      </c>
      <c r="K9" s="75">
        <f t="shared" si="0"/>
        <v>2</v>
      </c>
      <c r="L9" s="75"/>
      <c r="M9" s="83"/>
    </row>
    <row r="10" ht="18.75" customHeight="1" spans="1:13">
      <c r="A10" s="41"/>
      <c r="B10" s="42"/>
      <c r="C10" s="43"/>
      <c r="D10" s="43"/>
      <c r="E10" s="15"/>
      <c r="F10" s="48" t="s">
        <v>107</v>
      </c>
      <c r="G10" s="21" t="s">
        <v>108</v>
      </c>
      <c r="H10" s="53" t="s">
        <v>109</v>
      </c>
      <c r="I10" s="71">
        <v>1</v>
      </c>
      <c r="J10" s="72" t="s">
        <v>43</v>
      </c>
      <c r="K10" s="75">
        <f t="shared" si="0"/>
        <v>1</v>
      </c>
      <c r="L10" s="75"/>
      <c r="M10" s="83"/>
    </row>
    <row r="11" ht="30.75" customHeight="1" spans="1:13">
      <c r="A11" s="41"/>
      <c r="B11" s="42"/>
      <c r="C11" s="43"/>
      <c r="D11" s="43"/>
      <c r="E11" s="15"/>
      <c r="F11" s="48" t="s">
        <v>110</v>
      </c>
      <c r="G11" s="21" t="s">
        <v>111</v>
      </c>
      <c r="H11" s="53"/>
      <c r="I11" s="71">
        <v>3</v>
      </c>
      <c r="J11" s="72" t="s">
        <v>43</v>
      </c>
      <c r="K11" s="75">
        <f t="shared" si="0"/>
        <v>3</v>
      </c>
      <c r="L11" s="75"/>
      <c r="M11" s="83"/>
    </row>
    <row r="12" ht="18.75" customHeight="1" spans="1:13">
      <c r="A12" s="41"/>
      <c r="B12" s="42"/>
      <c r="C12" s="43"/>
      <c r="D12" s="43"/>
      <c r="E12" s="15" t="s">
        <v>140</v>
      </c>
      <c r="F12" s="48" t="s">
        <v>141</v>
      </c>
      <c r="G12" s="21" t="s">
        <v>142</v>
      </c>
      <c r="H12" s="53" t="s">
        <v>143</v>
      </c>
      <c r="I12" s="71">
        <v>2</v>
      </c>
      <c r="J12" s="72" t="s">
        <v>43</v>
      </c>
      <c r="K12" s="75">
        <f t="shared" si="0"/>
        <v>2</v>
      </c>
      <c r="L12" s="75"/>
      <c r="M12" s="83"/>
    </row>
    <row r="13" ht="30.75" customHeight="1" spans="1:13">
      <c r="A13" s="41"/>
      <c r="B13" s="42"/>
      <c r="C13" s="43"/>
      <c r="D13" s="43"/>
      <c r="E13" s="15" t="s">
        <v>144</v>
      </c>
      <c r="F13" s="48" t="s">
        <v>145</v>
      </c>
      <c r="G13" s="21" t="s">
        <v>146</v>
      </c>
      <c r="H13" s="53"/>
      <c r="I13" s="71">
        <v>2</v>
      </c>
      <c r="J13" s="72" t="s">
        <v>43</v>
      </c>
      <c r="K13" s="75">
        <f t="shared" si="0"/>
        <v>2</v>
      </c>
      <c r="L13" s="75"/>
      <c r="M13" s="83"/>
    </row>
    <row r="14" ht="30.75" customHeight="1" spans="1:13">
      <c r="A14" s="41"/>
      <c r="B14" s="42"/>
      <c r="C14" s="43"/>
      <c r="D14" s="43"/>
      <c r="E14" s="15" t="s">
        <v>176</v>
      </c>
      <c r="F14" s="48" t="s">
        <v>177</v>
      </c>
      <c r="G14" s="21" t="s">
        <v>178</v>
      </c>
      <c r="H14" s="53" t="s">
        <v>179</v>
      </c>
      <c r="I14" s="71">
        <v>2</v>
      </c>
      <c r="J14" s="72" t="s">
        <v>43</v>
      </c>
      <c r="K14" s="75">
        <f t="shared" si="0"/>
        <v>2</v>
      </c>
      <c r="L14" s="75"/>
      <c r="M14" s="83"/>
    </row>
    <row r="15" ht="30.75" customHeight="1" spans="1:13">
      <c r="A15" s="41"/>
      <c r="B15" s="42"/>
      <c r="C15" s="43"/>
      <c r="D15" s="43"/>
      <c r="E15" s="15" t="s">
        <v>180</v>
      </c>
      <c r="F15" s="48" t="s">
        <v>181</v>
      </c>
      <c r="G15" s="21" t="s">
        <v>182</v>
      </c>
      <c r="H15" s="53" t="s">
        <v>183</v>
      </c>
      <c r="I15" s="71">
        <v>3</v>
      </c>
      <c r="J15" s="72" t="s">
        <v>43</v>
      </c>
      <c r="K15" s="75">
        <f t="shared" si="0"/>
        <v>3</v>
      </c>
      <c r="L15" s="75"/>
      <c r="M15" s="83"/>
    </row>
    <row r="16" ht="55.5" customHeight="1" spans="1:13">
      <c r="A16" s="41"/>
      <c r="B16" s="42"/>
      <c r="C16" s="43"/>
      <c r="D16" s="43"/>
      <c r="E16" s="15" t="s">
        <v>129</v>
      </c>
      <c r="F16" s="48" t="s">
        <v>130</v>
      </c>
      <c r="G16" s="21" t="s">
        <v>131</v>
      </c>
      <c r="H16" s="53" t="s">
        <v>132</v>
      </c>
      <c r="I16" s="71">
        <v>2</v>
      </c>
      <c r="J16" s="72" t="s">
        <v>43</v>
      </c>
      <c r="K16" s="75">
        <f t="shared" si="0"/>
        <v>2</v>
      </c>
      <c r="L16" s="75"/>
      <c r="M16" s="83"/>
    </row>
    <row r="17" ht="30.75" customHeight="1" spans="1:13">
      <c r="A17" s="41"/>
      <c r="B17" s="42"/>
      <c r="C17" s="43"/>
      <c r="D17" s="43"/>
      <c r="E17" s="15" t="s">
        <v>188</v>
      </c>
      <c r="F17" s="48" t="s">
        <v>189</v>
      </c>
      <c r="G17" s="21" t="s">
        <v>190</v>
      </c>
      <c r="H17" s="53"/>
      <c r="I17" s="71">
        <v>3</v>
      </c>
      <c r="J17" s="72" t="s">
        <v>43</v>
      </c>
      <c r="K17" s="75">
        <f t="shared" si="0"/>
        <v>3</v>
      </c>
      <c r="L17" s="75"/>
      <c r="M17" s="83"/>
    </row>
    <row r="18" ht="43.5" customHeight="1" spans="1:13">
      <c r="A18" s="41"/>
      <c r="B18" s="42"/>
      <c r="C18" s="43"/>
      <c r="D18" s="43"/>
      <c r="E18" s="15" t="s">
        <v>125</v>
      </c>
      <c r="F18" s="48" t="s">
        <v>126</v>
      </c>
      <c r="G18" s="21" t="s">
        <v>127</v>
      </c>
      <c r="H18" s="53" t="s">
        <v>128</v>
      </c>
      <c r="I18" s="71">
        <v>10</v>
      </c>
      <c r="J18" s="72" t="s">
        <v>43</v>
      </c>
      <c r="K18" s="75">
        <f t="shared" si="0"/>
        <v>10</v>
      </c>
      <c r="L18" s="75"/>
      <c r="M18" s="83"/>
    </row>
    <row r="19" ht="30.75" customHeight="1" spans="1:13">
      <c r="A19" s="41"/>
      <c r="B19" s="42"/>
      <c r="C19" s="43"/>
      <c r="D19" s="43"/>
      <c r="E19" s="15" t="s">
        <v>97</v>
      </c>
      <c r="F19" s="48" t="s">
        <v>98</v>
      </c>
      <c r="G19" s="21" t="s">
        <v>99</v>
      </c>
      <c r="H19" s="53"/>
      <c r="I19" s="71">
        <v>2</v>
      </c>
      <c r="J19" s="72" t="s">
        <v>43</v>
      </c>
      <c r="K19" s="75">
        <f t="shared" si="0"/>
        <v>2</v>
      </c>
      <c r="L19" s="75"/>
      <c r="M19" s="83"/>
    </row>
    <row r="20" ht="18.75" customHeight="1" spans="1:13">
      <c r="A20" s="41"/>
      <c r="B20" s="42"/>
      <c r="C20" s="43"/>
      <c r="D20" s="43"/>
      <c r="E20" s="15" t="s">
        <v>184</v>
      </c>
      <c r="F20" s="48" t="s">
        <v>185</v>
      </c>
      <c r="G20" s="21" t="s">
        <v>186</v>
      </c>
      <c r="H20" s="53" t="s">
        <v>187</v>
      </c>
      <c r="I20" s="71">
        <v>2</v>
      </c>
      <c r="J20" s="72" t="s">
        <v>43</v>
      </c>
      <c r="K20" s="75">
        <f t="shared" si="0"/>
        <v>2</v>
      </c>
      <c r="L20" s="75"/>
      <c r="M20" s="83"/>
    </row>
    <row r="21" ht="18.75" customHeight="1" spans="1:13">
      <c r="A21" s="41"/>
      <c r="B21" s="42"/>
      <c r="C21" s="43"/>
      <c r="D21" s="43"/>
      <c r="E21" s="15" t="s">
        <v>100</v>
      </c>
      <c r="F21" s="48" t="s">
        <v>101</v>
      </c>
      <c r="G21" s="21" t="s">
        <v>102</v>
      </c>
      <c r="H21" s="53"/>
      <c r="I21" s="71">
        <v>1</v>
      </c>
      <c r="J21" s="72" t="s">
        <v>43</v>
      </c>
      <c r="K21" s="75">
        <f t="shared" si="0"/>
        <v>1</v>
      </c>
      <c r="L21" s="75"/>
      <c r="M21" s="83"/>
    </row>
    <row r="22" ht="43.5" customHeight="1" spans="1:13">
      <c r="A22" s="41"/>
      <c r="B22" s="42"/>
      <c r="C22" s="43"/>
      <c r="D22" s="45"/>
      <c r="E22" s="15" t="s">
        <v>172</v>
      </c>
      <c r="F22" s="48" t="s">
        <v>173</v>
      </c>
      <c r="G22" s="21" t="s">
        <v>174</v>
      </c>
      <c r="H22" s="53" t="s">
        <v>175</v>
      </c>
      <c r="I22" s="71">
        <v>5</v>
      </c>
      <c r="J22" s="72" t="s">
        <v>43</v>
      </c>
      <c r="K22" s="75">
        <f t="shared" si="0"/>
        <v>5</v>
      </c>
      <c r="L22" s="75"/>
      <c r="M22" s="83"/>
    </row>
    <row r="23" ht="43.5" customHeight="1" spans="1:13">
      <c r="A23" s="41"/>
      <c r="B23" s="42"/>
      <c r="C23" s="43"/>
      <c r="D23" s="44" t="s">
        <v>244</v>
      </c>
      <c r="E23" s="55" t="s">
        <v>281</v>
      </c>
      <c r="F23" s="48" t="s">
        <v>282</v>
      </c>
      <c r="G23" s="21" t="s">
        <v>283</v>
      </c>
      <c r="H23" s="53"/>
      <c r="I23" s="71">
        <v>3</v>
      </c>
      <c r="J23" s="72" t="s">
        <v>43</v>
      </c>
      <c r="K23" s="75">
        <f t="shared" si="0"/>
        <v>3</v>
      </c>
      <c r="L23" s="74">
        <f>SUM(K23:K37)</f>
        <v>42</v>
      </c>
      <c r="M23" s="83"/>
    </row>
    <row r="24" ht="30.75" customHeight="1" spans="1:13">
      <c r="A24" s="41"/>
      <c r="B24" s="42"/>
      <c r="C24" s="43"/>
      <c r="D24" s="43"/>
      <c r="E24" s="15"/>
      <c r="F24" s="48" t="s">
        <v>284</v>
      </c>
      <c r="G24" s="21" t="s">
        <v>285</v>
      </c>
      <c r="H24" s="53"/>
      <c r="I24" s="71">
        <v>2</v>
      </c>
      <c r="J24" s="72" t="s">
        <v>43</v>
      </c>
      <c r="K24" s="75">
        <f t="shared" si="0"/>
        <v>2</v>
      </c>
      <c r="L24" s="75"/>
      <c r="M24" s="83"/>
    </row>
    <row r="25" ht="43.5" customHeight="1" spans="1:13">
      <c r="A25" s="41"/>
      <c r="B25" s="42"/>
      <c r="C25" s="43"/>
      <c r="D25" s="43"/>
      <c r="E25" s="15"/>
      <c r="F25" s="48" t="s">
        <v>286</v>
      </c>
      <c r="G25" s="21" t="s">
        <v>287</v>
      </c>
      <c r="H25" s="53"/>
      <c r="I25" s="71">
        <v>3</v>
      </c>
      <c r="J25" s="72" t="s">
        <v>43</v>
      </c>
      <c r="K25" s="75">
        <f t="shared" si="0"/>
        <v>3</v>
      </c>
      <c r="L25" s="75"/>
      <c r="M25" s="83"/>
    </row>
    <row r="26" ht="55.5" customHeight="1" spans="1:13">
      <c r="A26" s="41"/>
      <c r="B26" s="42"/>
      <c r="C26" s="43"/>
      <c r="D26" s="43"/>
      <c r="E26" s="55" t="s">
        <v>262</v>
      </c>
      <c r="F26" s="48" t="s">
        <v>263</v>
      </c>
      <c r="G26" s="21" t="s">
        <v>264</v>
      </c>
      <c r="H26" s="53"/>
      <c r="I26" s="71">
        <v>2</v>
      </c>
      <c r="J26" s="72" t="s">
        <v>43</v>
      </c>
      <c r="K26" s="75">
        <f t="shared" si="0"/>
        <v>2</v>
      </c>
      <c r="L26" s="75"/>
      <c r="M26" s="83"/>
    </row>
    <row r="27" ht="18.75" customHeight="1" spans="1:13">
      <c r="A27" s="41"/>
      <c r="B27" s="42"/>
      <c r="C27" s="43"/>
      <c r="D27" s="43"/>
      <c r="E27" s="15"/>
      <c r="F27" s="48" t="s">
        <v>265</v>
      </c>
      <c r="G27" s="21" t="s">
        <v>266</v>
      </c>
      <c r="H27" s="53"/>
      <c r="I27" s="71">
        <v>2</v>
      </c>
      <c r="J27" s="72" t="s">
        <v>43</v>
      </c>
      <c r="K27" s="75">
        <f t="shared" si="0"/>
        <v>2</v>
      </c>
      <c r="L27" s="75"/>
      <c r="M27" s="83"/>
    </row>
    <row r="28" ht="30.75" customHeight="1" spans="1:13">
      <c r="A28" s="41"/>
      <c r="B28" s="42"/>
      <c r="C28" s="43"/>
      <c r="D28" s="43"/>
      <c r="E28" s="15"/>
      <c r="F28" s="48" t="s">
        <v>267</v>
      </c>
      <c r="G28" s="21" t="s">
        <v>268</v>
      </c>
      <c r="H28" s="53"/>
      <c r="I28" s="71">
        <v>3</v>
      </c>
      <c r="J28" s="72" t="s">
        <v>43</v>
      </c>
      <c r="K28" s="75">
        <f t="shared" si="0"/>
        <v>3</v>
      </c>
      <c r="L28" s="75"/>
      <c r="M28" s="83"/>
    </row>
    <row r="29" ht="18.75" customHeight="1" spans="1:13">
      <c r="A29" s="41"/>
      <c r="B29" s="42"/>
      <c r="C29" s="43"/>
      <c r="D29" s="43"/>
      <c r="E29" s="15"/>
      <c r="F29" s="48" t="s">
        <v>269</v>
      </c>
      <c r="G29" s="21" t="s">
        <v>847</v>
      </c>
      <c r="H29" s="53"/>
      <c r="I29" s="71">
        <v>2</v>
      </c>
      <c r="J29" s="72" t="s">
        <v>43</v>
      </c>
      <c r="K29" s="75">
        <f t="shared" si="0"/>
        <v>2</v>
      </c>
      <c r="L29" s="75"/>
      <c r="M29" s="83"/>
    </row>
    <row r="30" ht="43.5" customHeight="1" spans="1:13">
      <c r="A30" s="41"/>
      <c r="B30" s="42"/>
      <c r="C30" s="43"/>
      <c r="D30" s="43"/>
      <c r="E30" s="15"/>
      <c r="F30" s="48" t="s">
        <v>271</v>
      </c>
      <c r="G30" s="21" t="s">
        <v>272</v>
      </c>
      <c r="H30" s="53" t="s">
        <v>255</v>
      </c>
      <c r="I30" s="71">
        <v>3</v>
      </c>
      <c r="J30" s="72" t="s">
        <v>43</v>
      </c>
      <c r="K30" s="75">
        <f t="shared" si="0"/>
        <v>3</v>
      </c>
      <c r="L30" s="75"/>
      <c r="M30" s="83"/>
    </row>
    <row r="31" ht="43.5" customHeight="1" spans="1:13">
      <c r="A31" s="41"/>
      <c r="B31" s="42"/>
      <c r="C31" s="43"/>
      <c r="D31" s="43"/>
      <c r="E31" s="55" t="s">
        <v>245</v>
      </c>
      <c r="F31" s="48" t="s">
        <v>246</v>
      </c>
      <c r="G31" s="21" t="s">
        <v>247</v>
      </c>
      <c r="H31" s="53"/>
      <c r="I31" s="71">
        <v>2</v>
      </c>
      <c r="J31" s="72" t="s">
        <v>43</v>
      </c>
      <c r="K31" s="75">
        <f t="shared" si="0"/>
        <v>2</v>
      </c>
      <c r="L31" s="75"/>
      <c r="M31" s="83"/>
    </row>
    <row r="32" ht="18.75" customHeight="1" spans="1:13">
      <c r="A32" s="41"/>
      <c r="B32" s="42"/>
      <c r="C32" s="43"/>
      <c r="D32" s="43"/>
      <c r="E32" s="15"/>
      <c r="F32" s="48" t="s">
        <v>248</v>
      </c>
      <c r="G32" s="21" t="s">
        <v>249</v>
      </c>
      <c r="H32" s="53"/>
      <c r="I32" s="71">
        <v>3</v>
      </c>
      <c r="J32" s="72" t="s">
        <v>43</v>
      </c>
      <c r="K32" s="75">
        <f t="shared" si="0"/>
        <v>3</v>
      </c>
      <c r="L32" s="75"/>
      <c r="M32" s="83"/>
    </row>
    <row r="33" ht="17.25" customHeight="1" spans="1:13">
      <c r="A33" s="41"/>
      <c r="B33" s="42"/>
      <c r="C33" s="43"/>
      <c r="D33" s="43"/>
      <c r="E33" s="15"/>
      <c r="F33" s="48" t="s">
        <v>250</v>
      </c>
      <c r="G33" s="21" t="s">
        <v>251</v>
      </c>
      <c r="H33" s="53" t="s">
        <v>252</v>
      </c>
      <c r="I33" s="71">
        <v>3</v>
      </c>
      <c r="J33" s="72" t="s">
        <v>43</v>
      </c>
      <c r="K33" s="75">
        <f t="shared" si="0"/>
        <v>3</v>
      </c>
      <c r="L33" s="75"/>
      <c r="M33" s="83"/>
    </row>
    <row r="34" ht="17.25" customHeight="1" spans="1:13">
      <c r="A34" s="41"/>
      <c r="B34" s="42"/>
      <c r="C34" s="43"/>
      <c r="D34" s="43"/>
      <c r="E34" s="15"/>
      <c r="F34" s="48" t="s">
        <v>253</v>
      </c>
      <c r="G34" s="21" t="s">
        <v>254</v>
      </c>
      <c r="H34" s="53" t="s">
        <v>255</v>
      </c>
      <c r="I34" s="71">
        <v>3</v>
      </c>
      <c r="J34" s="72" t="s">
        <v>43</v>
      </c>
      <c r="K34" s="75">
        <f t="shared" si="0"/>
        <v>3</v>
      </c>
      <c r="L34" s="75"/>
      <c r="M34" s="83"/>
    </row>
    <row r="35" ht="17.25" customHeight="1" spans="1:13">
      <c r="A35" s="41"/>
      <c r="B35" s="42"/>
      <c r="C35" s="43"/>
      <c r="D35" s="43"/>
      <c r="E35" s="15" t="s">
        <v>297</v>
      </c>
      <c r="F35" s="48" t="s">
        <v>742</v>
      </c>
      <c r="G35" s="21" t="s">
        <v>299</v>
      </c>
      <c r="H35" s="53"/>
      <c r="I35" s="71">
        <v>3</v>
      </c>
      <c r="J35" s="72" t="s">
        <v>43</v>
      </c>
      <c r="K35" s="75">
        <f t="shared" si="0"/>
        <v>3</v>
      </c>
      <c r="L35" s="75"/>
      <c r="M35" s="83"/>
    </row>
    <row r="36" ht="17.25" customHeight="1" spans="1:13">
      <c r="A36" s="41"/>
      <c r="B36" s="42"/>
      <c r="C36" s="43"/>
      <c r="D36" s="43"/>
      <c r="E36" s="15" t="s">
        <v>295</v>
      </c>
      <c r="F36" s="48" t="s">
        <v>295</v>
      </c>
      <c r="G36" s="21" t="s">
        <v>296</v>
      </c>
      <c r="H36" s="53"/>
      <c r="I36" s="71">
        <v>3</v>
      </c>
      <c r="J36" s="72" t="s">
        <v>43</v>
      </c>
      <c r="K36" s="75">
        <f t="shared" si="0"/>
        <v>3</v>
      </c>
      <c r="L36" s="75"/>
      <c r="M36" s="83"/>
    </row>
    <row r="37" ht="17.25" customHeight="1" spans="1:13">
      <c r="A37" s="41"/>
      <c r="B37" s="153"/>
      <c r="C37" s="45"/>
      <c r="D37" s="45"/>
      <c r="E37" s="15" t="s">
        <v>291</v>
      </c>
      <c r="F37" s="48" t="s">
        <v>292</v>
      </c>
      <c r="G37" s="21" t="s">
        <v>293</v>
      </c>
      <c r="H37" s="53" t="s">
        <v>294</v>
      </c>
      <c r="I37" s="71">
        <v>5</v>
      </c>
      <c r="J37" s="72" t="s">
        <v>43</v>
      </c>
      <c r="K37" s="75">
        <f t="shared" si="0"/>
        <v>5</v>
      </c>
      <c r="L37" s="75"/>
      <c r="M37" s="83"/>
    </row>
    <row r="38" ht="17.25" customHeight="1" spans="1:13">
      <c r="A38" s="46"/>
      <c r="B38" s="102" t="s">
        <v>743</v>
      </c>
      <c r="C38" s="52" t="s">
        <v>112</v>
      </c>
      <c r="D38" s="52"/>
      <c r="E38" s="52" t="s">
        <v>113</v>
      </c>
      <c r="F38" s="48" t="s">
        <v>113</v>
      </c>
      <c r="G38" s="21" t="s">
        <v>114</v>
      </c>
      <c r="H38" s="53" t="s">
        <v>115</v>
      </c>
      <c r="I38" s="71">
        <v>1</v>
      </c>
      <c r="J38" s="72" t="s">
        <v>43</v>
      </c>
      <c r="K38" s="75">
        <f t="shared" si="0"/>
        <v>1</v>
      </c>
      <c r="L38" s="78">
        <f>SUM(K38:K64)</f>
        <v>123</v>
      </c>
      <c r="M38" s="84"/>
    </row>
    <row r="39" ht="17.25" customHeight="1" spans="1:13">
      <c r="A39" s="46"/>
      <c r="B39" s="67"/>
      <c r="C39" s="52" t="s">
        <v>133</v>
      </c>
      <c r="D39" s="52"/>
      <c r="E39" s="52" t="s">
        <v>134</v>
      </c>
      <c r="F39" s="48" t="s">
        <v>134</v>
      </c>
      <c r="G39" s="21" t="s">
        <v>135</v>
      </c>
      <c r="H39" s="53" t="s">
        <v>136</v>
      </c>
      <c r="I39" s="71">
        <v>8</v>
      </c>
      <c r="J39" s="72" t="s">
        <v>43</v>
      </c>
      <c r="K39" s="75">
        <f t="shared" si="0"/>
        <v>8</v>
      </c>
      <c r="L39" s="77"/>
      <c r="M39" s="84"/>
    </row>
    <row r="40" ht="17.25" customHeight="1" spans="1:13">
      <c r="A40" s="46"/>
      <c r="B40" s="67"/>
      <c r="C40" s="52" t="s">
        <v>137</v>
      </c>
      <c r="D40" s="52"/>
      <c r="E40" s="52" t="s">
        <v>138</v>
      </c>
      <c r="F40" s="48" t="s">
        <v>138</v>
      </c>
      <c r="G40" s="21" t="s">
        <v>139</v>
      </c>
      <c r="H40" s="53"/>
      <c r="I40" s="71">
        <v>2</v>
      </c>
      <c r="J40" s="72" t="s">
        <v>43</v>
      </c>
      <c r="K40" s="75">
        <f t="shared" si="0"/>
        <v>2</v>
      </c>
      <c r="L40" s="77"/>
      <c r="M40" s="84"/>
    </row>
    <row r="41" ht="17.25" customHeight="1" spans="1:13">
      <c r="A41" s="46"/>
      <c r="B41" s="67"/>
      <c r="C41" s="52" t="s">
        <v>147</v>
      </c>
      <c r="D41" s="52"/>
      <c r="E41" s="52" t="s">
        <v>148</v>
      </c>
      <c r="F41" s="48" t="s">
        <v>148</v>
      </c>
      <c r="G41" s="21" t="s">
        <v>149</v>
      </c>
      <c r="H41" s="53" t="s">
        <v>150</v>
      </c>
      <c r="I41" s="71">
        <v>3</v>
      </c>
      <c r="J41" s="72" t="s">
        <v>43</v>
      </c>
      <c r="K41" s="75">
        <f t="shared" si="0"/>
        <v>3</v>
      </c>
      <c r="L41" s="77"/>
      <c r="M41" s="84"/>
    </row>
    <row r="42" ht="17.25" customHeight="1" spans="1:13">
      <c r="A42" s="46"/>
      <c r="B42" s="67"/>
      <c r="C42" s="52" t="s">
        <v>151</v>
      </c>
      <c r="D42" s="52"/>
      <c r="E42" s="52" t="s">
        <v>152</v>
      </c>
      <c r="F42" s="48" t="s">
        <v>152</v>
      </c>
      <c r="G42" s="21" t="s">
        <v>153</v>
      </c>
      <c r="H42" s="53"/>
      <c r="I42" s="71">
        <v>1</v>
      </c>
      <c r="J42" s="72" t="s">
        <v>43</v>
      </c>
      <c r="K42" s="75">
        <f t="shared" si="0"/>
        <v>1</v>
      </c>
      <c r="L42" s="77"/>
      <c r="M42" s="84"/>
    </row>
    <row r="43" ht="17.25" customHeight="1" spans="1:13">
      <c r="A43" s="46"/>
      <c r="B43" s="67"/>
      <c r="C43" s="52" t="s">
        <v>154</v>
      </c>
      <c r="D43" s="52"/>
      <c r="E43" s="52" t="s">
        <v>155</v>
      </c>
      <c r="F43" s="48" t="s">
        <v>155</v>
      </c>
      <c r="G43" s="21" t="s">
        <v>156</v>
      </c>
      <c r="H43" s="53"/>
      <c r="I43" s="71">
        <v>1</v>
      </c>
      <c r="J43" s="72" t="s">
        <v>43</v>
      </c>
      <c r="K43" s="75">
        <f t="shared" si="0"/>
        <v>1</v>
      </c>
      <c r="L43" s="77"/>
      <c r="M43" s="84"/>
    </row>
    <row r="44" ht="17.25" customHeight="1" spans="1:13">
      <c r="A44" s="46"/>
      <c r="B44" s="67"/>
      <c r="C44" s="52" t="s">
        <v>157</v>
      </c>
      <c r="D44" s="52"/>
      <c r="E44" s="52" t="s">
        <v>158</v>
      </c>
      <c r="F44" s="48" t="s">
        <v>158</v>
      </c>
      <c r="G44" s="21" t="s">
        <v>159</v>
      </c>
      <c r="H44" s="53"/>
      <c r="I44" s="71">
        <v>2</v>
      </c>
      <c r="J44" s="72" t="s">
        <v>43</v>
      </c>
      <c r="K44" s="75">
        <f t="shared" si="0"/>
        <v>2</v>
      </c>
      <c r="L44" s="77"/>
      <c r="M44" s="84"/>
    </row>
    <row r="45" ht="17.25" customHeight="1" spans="1:13">
      <c r="A45" s="46"/>
      <c r="B45" s="67"/>
      <c r="C45" s="52" t="s">
        <v>160</v>
      </c>
      <c r="D45" s="52"/>
      <c r="E45" s="52" t="s">
        <v>161</v>
      </c>
      <c r="F45" s="48" t="s">
        <v>161</v>
      </c>
      <c r="G45" s="21" t="s">
        <v>162</v>
      </c>
      <c r="H45" s="53"/>
      <c r="I45" s="71">
        <v>8</v>
      </c>
      <c r="J45" s="72" t="s">
        <v>43</v>
      </c>
      <c r="K45" s="75">
        <f t="shared" si="0"/>
        <v>8</v>
      </c>
      <c r="L45" s="77"/>
      <c r="M45" s="84"/>
    </row>
    <row r="46" ht="17.25" customHeight="1" spans="1:13">
      <c r="A46" s="46"/>
      <c r="B46" s="67"/>
      <c r="C46" s="52" t="s">
        <v>163</v>
      </c>
      <c r="D46" s="52"/>
      <c r="E46" s="52" t="s">
        <v>164</v>
      </c>
      <c r="F46" s="48" t="s">
        <v>164</v>
      </c>
      <c r="G46" s="21" t="s">
        <v>165</v>
      </c>
      <c r="H46" s="53"/>
      <c r="I46" s="71">
        <v>3</v>
      </c>
      <c r="J46" s="72" t="s">
        <v>43</v>
      </c>
      <c r="K46" s="75">
        <f t="shared" si="0"/>
        <v>3</v>
      </c>
      <c r="L46" s="77"/>
      <c r="M46" s="84"/>
    </row>
    <row r="47" ht="17.25" customHeight="1" spans="1:13">
      <c r="A47" s="46"/>
      <c r="B47" s="67"/>
      <c r="C47" s="52" t="s">
        <v>166</v>
      </c>
      <c r="D47" s="52"/>
      <c r="E47" s="88" t="s">
        <v>167</v>
      </c>
      <c r="F47" s="48" t="s">
        <v>167</v>
      </c>
      <c r="G47" s="56" t="s">
        <v>168</v>
      </c>
      <c r="H47" s="53"/>
      <c r="I47" s="71">
        <v>4</v>
      </c>
      <c r="J47" s="72" t="s">
        <v>43</v>
      </c>
      <c r="K47" s="75">
        <f t="shared" si="0"/>
        <v>4</v>
      </c>
      <c r="L47" s="77"/>
      <c r="M47" s="84"/>
    </row>
    <row r="48" ht="17.25" customHeight="1" spans="1:13">
      <c r="A48" s="46"/>
      <c r="B48" s="67"/>
      <c r="C48" s="52" t="s">
        <v>169</v>
      </c>
      <c r="D48" s="52"/>
      <c r="E48" s="88" t="s">
        <v>170</v>
      </c>
      <c r="F48" s="48" t="s">
        <v>170</v>
      </c>
      <c r="G48" s="56" t="s">
        <v>171</v>
      </c>
      <c r="H48" s="53"/>
      <c r="I48" s="71">
        <v>2</v>
      </c>
      <c r="J48" s="72" t="s">
        <v>43</v>
      </c>
      <c r="K48" s="75">
        <f t="shared" si="0"/>
        <v>2</v>
      </c>
      <c r="L48" s="77"/>
      <c r="M48" s="84"/>
    </row>
    <row r="49" ht="17.25" customHeight="1" spans="1:13">
      <c r="A49" s="46"/>
      <c r="B49" s="67"/>
      <c r="C49" s="52" t="s">
        <v>657</v>
      </c>
      <c r="D49" s="52"/>
      <c r="E49" s="88" t="s">
        <v>658</v>
      </c>
      <c r="F49" s="48" t="s">
        <v>658</v>
      </c>
      <c r="G49" s="56" t="s">
        <v>659</v>
      </c>
      <c r="H49" s="53"/>
      <c r="I49" s="71">
        <v>2</v>
      </c>
      <c r="J49" s="72" t="s">
        <v>43</v>
      </c>
      <c r="K49" s="75">
        <f t="shared" si="0"/>
        <v>2</v>
      </c>
      <c r="L49" s="77"/>
      <c r="M49" s="84"/>
    </row>
    <row r="50" ht="17.25" customHeight="1" spans="1:13">
      <c r="A50" s="46"/>
      <c r="B50" s="67"/>
      <c r="C50" s="52" t="s">
        <v>660</v>
      </c>
      <c r="D50" s="52"/>
      <c r="E50" s="88" t="s">
        <v>660</v>
      </c>
      <c r="F50" s="48" t="s">
        <v>660</v>
      </c>
      <c r="G50" s="56" t="s">
        <v>661</v>
      </c>
      <c r="H50" s="53"/>
      <c r="I50" s="71">
        <v>4</v>
      </c>
      <c r="J50" s="72" t="s">
        <v>43</v>
      </c>
      <c r="K50" s="75">
        <f t="shared" si="0"/>
        <v>4</v>
      </c>
      <c r="L50" s="77"/>
      <c r="M50" s="84"/>
    </row>
    <row r="51" ht="17.25" customHeight="1" spans="1:13">
      <c r="A51" s="46"/>
      <c r="B51" s="67"/>
      <c r="C51" s="52" t="s">
        <v>233</v>
      </c>
      <c r="D51" s="52"/>
      <c r="E51" s="88" t="s">
        <v>234</v>
      </c>
      <c r="F51" s="48" t="s">
        <v>234</v>
      </c>
      <c r="G51" s="56" t="s">
        <v>235</v>
      </c>
      <c r="H51" s="53" t="s">
        <v>236</v>
      </c>
      <c r="I51" s="71">
        <v>10</v>
      </c>
      <c r="J51" s="72" t="s">
        <v>43</v>
      </c>
      <c r="K51" s="75">
        <f t="shared" si="0"/>
        <v>10</v>
      </c>
      <c r="L51" s="77"/>
      <c r="M51" s="84"/>
    </row>
    <row r="52" ht="17.25" customHeight="1" spans="1:13">
      <c r="A52" s="46"/>
      <c r="B52" s="67"/>
      <c r="C52" s="52" t="s">
        <v>116</v>
      </c>
      <c r="D52" s="52"/>
      <c r="E52" s="52" t="s">
        <v>117</v>
      </c>
      <c r="F52" s="48" t="s">
        <v>117</v>
      </c>
      <c r="G52" s="21" t="s">
        <v>118</v>
      </c>
      <c r="H52" s="53"/>
      <c r="I52" s="71">
        <v>5</v>
      </c>
      <c r="J52" s="72" t="s">
        <v>43</v>
      </c>
      <c r="K52" s="75">
        <f t="shared" si="0"/>
        <v>5</v>
      </c>
      <c r="L52" s="77"/>
      <c r="M52" s="84"/>
    </row>
    <row r="53" ht="17.25" customHeight="1" spans="1:13">
      <c r="A53" s="46"/>
      <c r="B53" s="67"/>
      <c r="C53" s="52" t="s">
        <v>222</v>
      </c>
      <c r="D53" s="52"/>
      <c r="E53" s="52" t="s">
        <v>223</v>
      </c>
      <c r="F53" s="48" t="s">
        <v>223</v>
      </c>
      <c r="G53" s="21" t="s">
        <v>224</v>
      </c>
      <c r="H53" s="53"/>
      <c r="I53" s="71">
        <v>8</v>
      </c>
      <c r="J53" s="72" t="s">
        <v>43</v>
      </c>
      <c r="K53" s="75">
        <f t="shared" si="0"/>
        <v>8</v>
      </c>
      <c r="L53" s="77"/>
      <c r="M53" s="84"/>
    </row>
    <row r="54" ht="17.25" customHeight="1" spans="1:13">
      <c r="A54" s="46"/>
      <c r="B54" s="67"/>
      <c r="C54" s="52" t="s">
        <v>208</v>
      </c>
      <c r="D54" s="52"/>
      <c r="E54" s="52" t="s">
        <v>209</v>
      </c>
      <c r="F54" s="48" t="s">
        <v>209</v>
      </c>
      <c r="G54" s="21" t="s">
        <v>210</v>
      </c>
      <c r="H54" s="53"/>
      <c r="I54" s="71">
        <v>10</v>
      </c>
      <c r="J54" s="72" t="s">
        <v>43</v>
      </c>
      <c r="K54" s="75">
        <f t="shared" si="0"/>
        <v>10</v>
      </c>
      <c r="L54" s="77"/>
      <c r="M54" s="84"/>
    </row>
    <row r="55" ht="17.25" customHeight="1" spans="1:13">
      <c r="A55" s="46"/>
      <c r="B55" s="67"/>
      <c r="C55" s="52" t="s">
        <v>229</v>
      </c>
      <c r="D55" s="52"/>
      <c r="E55" s="52" t="s">
        <v>229</v>
      </c>
      <c r="F55" s="48" t="s">
        <v>230</v>
      </c>
      <c r="G55" s="21" t="s">
        <v>231</v>
      </c>
      <c r="H55" s="53"/>
      <c r="I55" s="71">
        <v>6</v>
      </c>
      <c r="J55" s="72" t="s">
        <v>43</v>
      </c>
      <c r="K55" s="75">
        <f t="shared" si="0"/>
        <v>6</v>
      </c>
      <c r="L55" s="77"/>
      <c r="M55" s="84"/>
    </row>
    <row r="56" ht="17.25" customHeight="1" spans="1:13">
      <c r="A56" s="46"/>
      <c r="B56" s="67"/>
      <c r="C56" s="52" t="s">
        <v>191</v>
      </c>
      <c r="D56" s="52"/>
      <c r="E56" s="52" t="s">
        <v>192</v>
      </c>
      <c r="F56" s="48" t="s">
        <v>192</v>
      </c>
      <c r="G56" s="21" t="s">
        <v>193</v>
      </c>
      <c r="H56" s="53" t="s">
        <v>194</v>
      </c>
      <c r="I56" s="71">
        <v>2</v>
      </c>
      <c r="J56" s="72" t="s">
        <v>43</v>
      </c>
      <c r="K56" s="75">
        <f t="shared" si="0"/>
        <v>2</v>
      </c>
      <c r="L56" s="77"/>
      <c r="M56" s="84"/>
    </row>
    <row r="57" ht="17.25" customHeight="1" spans="1:13">
      <c r="A57" s="46"/>
      <c r="B57" s="67"/>
      <c r="C57" s="52" t="s">
        <v>214</v>
      </c>
      <c r="D57" s="52"/>
      <c r="E57" s="52" t="s">
        <v>214</v>
      </c>
      <c r="F57" s="48" t="s">
        <v>214</v>
      </c>
      <c r="G57" s="21" t="s">
        <v>215</v>
      </c>
      <c r="H57" s="53"/>
      <c r="I57" s="71">
        <v>3</v>
      </c>
      <c r="J57" s="72" t="s">
        <v>43</v>
      </c>
      <c r="K57" s="75">
        <f t="shared" si="0"/>
        <v>3</v>
      </c>
      <c r="L57" s="77"/>
      <c r="M57" s="84"/>
    </row>
    <row r="58" ht="17.25" customHeight="1" spans="1:13">
      <c r="A58" s="46"/>
      <c r="B58" s="67"/>
      <c r="C58" s="52" t="s">
        <v>225</v>
      </c>
      <c r="D58" s="52"/>
      <c r="E58" s="52" t="s">
        <v>226</v>
      </c>
      <c r="F58" s="48" t="s">
        <v>226</v>
      </c>
      <c r="G58" s="21" t="s">
        <v>227</v>
      </c>
      <c r="H58" s="53" t="s">
        <v>228</v>
      </c>
      <c r="I58" s="71">
        <v>8</v>
      </c>
      <c r="J58" s="72" t="s">
        <v>43</v>
      </c>
      <c r="K58" s="75">
        <f t="shared" si="0"/>
        <v>8</v>
      </c>
      <c r="L58" s="77"/>
      <c r="M58" s="84"/>
    </row>
    <row r="59" ht="17.25" customHeight="1" spans="1:13">
      <c r="A59" s="46"/>
      <c r="B59" s="67"/>
      <c r="C59" s="52" t="s">
        <v>219</v>
      </c>
      <c r="D59" s="52"/>
      <c r="E59" s="52" t="s">
        <v>220</v>
      </c>
      <c r="F59" s="48" t="s">
        <v>220</v>
      </c>
      <c r="G59" s="21" t="s">
        <v>221</v>
      </c>
      <c r="H59" s="53"/>
      <c r="I59" s="71">
        <v>8</v>
      </c>
      <c r="J59" s="72" t="s">
        <v>43</v>
      </c>
      <c r="K59" s="75">
        <f t="shared" si="0"/>
        <v>8</v>
      </c>
      <c r="L59" s="77"/>
      <c r="M59" s="84"/>
    </row>
    <row r="60" ht="17.25" customHeight="1" spans="1:13">
      <c r="A60" s="46"/>
      <c r="B60" s="67"/>
      <c r="C60" s="52" t="s">
        <v>216</v>
      </c>
      <c r="D60" s="52"/>
      <c r="E60" s="52" t="s">
        <v>78</v>
      </c>
      <c r="F60" s="48" t="s">
        <v>78</v>
      </c>
      <c r="G60" s="21" t="s">
        <v>217</v>
      </c>
      <c r="H60" s="53" t="s">
        <v>218</v>
      </c>
      <c r="I60" s="71">
        <v>8</v>
      </c>
      <c r="J60" s="72" t="s">
        <v>43</v>
      </c>
      <c r="K60" s="75">
        <f t="shared" si="0"/>
        <v>8</v>
      </c>
      <c r="L60" s="77"/>
      <c r="M60" s="84"/>
    </row>
    <row r="61" ht="17.25" customHeight="1" spans="1:13">
      <c r="A61" s="46"/>
      <c r="B61" s="67"/>
      <c r="C61" s="52" t="s">
        <v>123</v>
      </c>
      <c r="D61" s="52"/>
      <c r="E61" s="52" t="s">
        <v>123</v>
      </c>
      <c r="F61" s="48" t="s">
        <v>123</v>
      </c>
      <c r="G61" s="21" t="s">
        <v>124</v>
      </c>
      <c r="H61" s="53"/>
      <c r="I61" s="71">
        <v>2</v>
      </c>
      <c r="J61" s="72" t="s">
        <v>43</v>
      </c>
      <c r="K61" s="75">
        <f t="shared" si="0"/>
        <v>2</v>
      </c>
      <c r="L61" s="77"/>
      <c r="M61" s="84"/>
    </row>
    <row r="62" ht="17.25" customHeight="1" spans="1:13">
      <c r="A62" s="46"/>
      <c r="B62" s="67"/>
      <c r="C62" s="52" t="s">
        <v>404</v>
      </c>
      <c r="D62" s="52"/>
      <c r="E62" s="52" t="s">
        <v>405</v>
      </c>
      <c r="F62" s="48" t="s">
        <v>405</v>
      </c>
      <c r="G62" s="21" t="s">
        <v>406</v>
      </c>
      <c r="H62" s="53" t="s">
        <v>407</v>
      </c>
      <c r="I62" s="71">
        <v>8</v>
      </c>
      <c r="J62" s="72" t="s">
        <v>43</v>
      </c>
      <c r="K62" s="75">
        <f t="shared" si="0"/>
        <v>8</v>
      </c>
      <c r="L62" s="77"/>
      <c r="M62" s="84"/>
    </row>
    <row r="63" ht="17.25" customHeight="1" spans="1:13">
      <c r="A63" s="46"/>
      <c r="B63" s="67"/>
      <c r="C63" s="37" t="s">
        <v>237</v>
      </c>
      <c r="D63" s="100"/>
      <c r="E63" s="100" t="s">
        <v>238</v>
      </c>
      <c r="F63" s="48" t="s">
        <v>238</v>
      </c>
      <c r="G63" s="21" t="s">
        <v>239</v>
      </c>
      <c r="H63" s="53" t="s">
        <v>240</v>
      </c>
      <c r="I63" s="71">
        <v>1</v>
      </c>
      <c r="J63" s="72" t="s">
        <v>43</v>
      </c>
      <c r="K63" s="73">
        <f t="shared" si="0"/>
        <v>1</v>
      </c>
      <c r="L63" s="77"/>
      <c r="M63" s="84"/>
    </row>
    <row r="64" ht="17.25" customHeight="1" spans="1:13">
      <c r="A64" s="46"/>
      <c r="B64" s="67"/>
      <c r="C64" s="125"/>
      <c r="D64" s="100"/>
      <c r="E64" s="100" t="s">
        <v>241</v>
      </c>
      <c r="F64" s="48" t="s">
        <v>241</v>
      </c>
      <c r="G64" s="21" t="s">
        <v>242</v>
      </c>
      <c r="H64" s="53" t="s">
        <v>243</v>
      </c>
      <c r="I64" s="71">
        <v>3</v>
      </c>
      <c r="J64" s="72" t="s">
        <v>43</v>
      </c>
      <c r="K64" s="73">
        <f t="shared" si="0"/>
        <v>3</v>
      </c>
      <c r="L64" s="79"/>
      <c r="M64" s="84"/>
    </row>
    <row r="65" ht="17.25" customHeight="1" spans="1:13">
      <c r="A65" s="46"/>
      <c r="B65" s="37" t="s">
        <v>744</v>
      </c>
      <c r="C65" s="52" t="s">
        <v>259</v>
      </c>
      <c r="D65" s="52"/>
      <c r="E65" s="52" t="s">
        <v>259</v>
      </c>
      <c r="F65" s="48" t="s">
        <v>259</v>
      </c>
      <c r="G65" s="21" t="s">
        <v>260</v>
      </c>
      <c r="H65" s="53" t="s">
        <v>261</v>
      </c>
      <c r="I65" s="71">
        <v>6</v>
      </c>
      <c r="J65" s="72" t="s">
        <v>43</v>
      </c>
      <c r="K65" s="75">
        <f t="shared" si="0"/>
        <v>6</v>
      </c>
      <c r="L65" s="76">
        <f>SUM(K65:K86)</f>
        <v>98</v>
      </c>
      <c r="M65" s="84"/>
    </row>
    <row r="66" ht="17.25" customHeight="1" spans="1:13">
      <c r="A66" s="46"/>
      <c r="B66" s="69"/>
      <c r="C66" s="52" t="s">
        <v>275</v>
      </c>
      <c r="D66" s="52"/>
      <c r="E66" s="52" t="s">
        <v>275</v>
      </c>
      <c r="F66" s="48" t="s">
        <v>276</v>
      </c>
      <c r="G66" s="21" t="s">
        <v>277</v>
      </c>
      <c r="H66" s="53"/>
      <c r="I66" s="71">
        <v>2</v>
      </c>
      <c r="J66" s="72" t="s">
        <v>43</v>
      </c>
      <c r="K66" s="75">
        <f t="shared" si="0"/>
        <v>2</v>
      </c>
      <c r="L66" s="77"/>
      <c r="M66" s="84"/>
    </row>
    <row r="67" ht="17.25" customHeight="1" spans="1:13">
      <c r="A67" s="46"/>
      <c r="B67" s="69"/>
      <c r="C67" s="52" t="s">
        <v>273</v>
      </c>
      <c r="D67" s="52"/>
      <c r="E67" s="52" t="s">
        <v>273</v>
      </c>
      <c r="F67" s="48" t="s">
        <v>274</v>
      </c>
      <c r="G67" s="21" t="s">
        <v>274</v>
      </c>
      <c r="H67" s="53"/>
      <c r="I67" s="71">
        <v>1</v>
      </c>
      <c r="J67" s="72" t="s">
        <v>43</v>
      </c>
      <c r="K67" s="75">
        <f t="shared" ref="K67:K130" si="1">IF(J67&lt;&gt;0,I67,0)</f>
        <v>1</v>
      </c>
      <c r="L67" s="77"/>
      <c r="M67" s="84"/>
    </row>
    <row r="68" ht="17.25" customHeight="1" spans="1:13">
      <c r="A68" s="46"/>
      <c r="B68" s="69"/>
      <c r="C68" s="52" t="s">
        <v>288</v>
      </c>
      <c r="D68" s="52"/>
      <c r="E68" s="52" t="s">
        <v>288</v>
      </c>
      <c r="F68" s="48" t="s">
        <v>288</v>
      </c>
      <c r="G68" s="21" t="s">
        <v>289</v>
      </c>
      <c r="H68" s="53" t="s">
        <v>290</v>
      </c>
      <c r="I68" s="71">
        <v>5</v>
      </c>
      <c r="J68" s="72" t="s">
        <v>43</v>
      </c>
      <c r="K68" s="75">
        <f t="shared" si="1"/>
        <v>5</v>
      </c>
      <c r="L68" s="77"/>
      <c r="M68" s="84"/>
    </row>
    <row r="69" ht="17.25" customHeight="1" spans="1:13">
      <c r="A69" s="46"/>
      <c r="B69" s="69"/>
      <c r="C69" s="52" t="s">
        <v>256</v>
      </c>
      <c r="D69" s="52"/>
      <c r="E69" s="52" t="s">
        <v>257</v>
      </c>
      <c r="F69" s="48" t="s">
        <v>257</v>
      </c>
      <c r="G69" s="21" t="s">
        <v>258</v>
      </c>
      <c r="H69" s="95"/>
      <c r="I69" s="71">
        <v>10</v>
      </c>
      <c r="J69" s="72" t="s">
        <v>43</v>
      </c>
      <c r="K69" s="75">
        <f t="shared" si="1"/>
        <v>10</v>
      </c>
      <c r="L69" s="77"/>
      <c r="M69" s="84"/>
    </row>
    <row r="70" ht="17.25" customHeight="1" spans="1:13">
      <c r="A70" s="46"/>
      <c r="B70" s="69"/>
      <c r="C70" s="52" t="s">
        <v>278</v>
      </c>
      <c r="D70" s="52"/>
      <c r="E70" s="52" t="s">
        <v>278</v>
      </c>
      <c r="F70" s="48" t="s">
        <v>278</v>
      </c>
      <c r="G70" s="21" t="s">
        <v>279</v>
      </c>
      <c r="H70" s="53" t="s">
        <v>280</v>
      </c>
      <c r="I70" s="71">
        <v>6</v>
      </c>
      <c r="J70" s="72" t="s">
        <v>43</v>
      </c>
      <c r="K70" s="75">
        <f t="shared" si="1"/>
        <v>6</v>
      </c>
      <c r="L70" s="77"/>
      <c r="M70" s="84"/>
    </row>
    <row r="71" ht="17.25" customHeight="1" spans="1:13">
      <c r="A71" s="46"/>
      <c r="B71" s="69"/>
      <c r="C71" s="52" t="s">
        <v>402</v>
      </c>
      <c r="D71" s="52"/>
      <c r="E71" s="52" t="s">
        <v>402</v>
      </c>
      <c r="F71" s="48" t="s">
        <v>402</v>
      </c>
      <c r="G71" s="21" t="s">
        <v>403</v>
      </c>
      <c r="H71" s="53"/>
      <c r="I71" s="71">
        <v>10</v>
      </c>
      <c r="J71" s="72" t="s">
        <v>43</v>
      </c>
      <c r="K71" s="75">
        <f t="shared" si="1"/>
        <v>10</v>
      </c>
      <c r="L71" s="77"/>
      <c r="M71" s="84"/>
    </row>
    <row r="72" ht="17.25" customHeight="1" spans="1:13">
      <c r="A72" s="46"/>
      <c r="B72" s="69"/>
      <c r="C72" s="52" t="s">
        <v>619</v>
      </c>
      <c r="D72" s="52"/>
      <c r="E72" s="52" t="s">
        <v>620</v>
      </c>
      <c r="F72" s="48" t="s">
        <v>620</v>
      </c>
      <c r="G72" s="21" t="s">
        <v>621</v>
      </c>
      <c r="H72" s="53" t="s">
        <v>622</v>
      </c>
      <c r="I72" s="71">
        <v>10</v>
      </c>
      <c r="J72" s="72" t="s">
        <v>43</v>
      </c>
      <c r="K72" s="75">
        <f t="shared" si="1"/>
        <v>10</v>
      </c>
      <c r="L72" s="77"/>
      <c r="M72" s="84"/>
    </row>
    <row r="73" ht="17.25" customHeight="1" spans="1:13">
      <c r="A73" s="46"/>
      <c r="B73" s="69"/>
      <c r="C73" s="52" t="s">
        <v>439</v>
      </c>
      <c r="D73" s="52"/>
      <c r="E73" s="52" t="s">
        <v>439</v>
      </c>
      <c r="F73" s="48" t="s">
        <v>439</v>
      </c>
      <c r="G73" s="21" t="s">
        <v>746</v>
      </c>
      <c r="H73" s="53" t="s">
        <v>747</v>
      </c>
      <c r="I73" s="48">
        <v>10</v>
      </c>
      <c r="J73" s="72" t="s">
        <v>43</v>
      </c>
      <c r="K73" s="75">
        <f t="shared" si="1"/>
        <v>10</v>
      </c>
      <c r="L73" s="77"/>
      <c r="M73" s="84"/>
    </row>
    <row r="74" ht="22.5" customHeight="1" spans="1:13">
      <c r="A74" s="46"/>
      <c r="B74" s="69"/>
      <c r="C74" s="38" t="s">
        <v>300</v>
      </c>
      <c r="D74" s="38"/>
      <c r="E74" s="38" t="s">
        <v>748</v>
      </c>
      <c r="F74" s="48" t="s">
        <v>301</v>
      </c>
      <c r="G74" s="21" t="s">
        <v>302</v>
      </c>
      <c r="H74" s="53" t="s">
        <v>303</v>
      </c>
      <c r="I74" s="71">
        <v>2</v>
      </c>
      <c r="J74" s="72" t="s">
        <v>43</v>
      </c>
      <c r="K74" s="75">
        <f t="shared" si="1"/>
        <v>2</v>
      </c>
      <c r="L74" s="77"/>
      <c r="M74" s="84"/>
    </row>
    <row r="75" ht="18.75" customHeight="1" spans="1:13">
      <c r="A75" s="46"/>
      <c r="B75" s="69"/>
      <c r="C75" s="40"/>
      <c r="D75" s="40"/>
      <c r="E75" s="40"/>
      <c r="F75" s="48" t="s">
        <v>305</v>
      </c>
      <c r="G75" s="21" t="s">
        <v>306</v>
      </c>
      <c r="H75" s="53"/>
      <c r="I75" s="71">
        <v>5</v>
      </c>
      <c r="J75" s="72" t="s">
        <v>43</v>
      </c>
      <c r="K75" s="75">
        <f t="shared" si="1"/>
        <v>5</v>
      </c>
      <c r="L75" s="77"/>
      <c r="M75" s="84"/>
    </row>
    <row r="76" ht="24" customHeight="1" spans="1:13">
      <c r="A76" s="46"/>
      <c r="B76" s="69"/>
      <c r="C76" s="40"/>
      <c r="D76" s="40"/>
      <c r="E76" s="40"/>
      <c r="F76" s="48" t="s">
        <v>307</v>
      </c>
      <c r="G76" s="21" t="s">
        <v>308</v>
      </c>
      <c r="H76" s="53"/>
      <c r="I76" s="71">
        <v>5</v>
      </c>
      <c r="J76" s="72" t="s">
        <v>43</v>
      </c>
      <c r="K76" s="75">
        <f t="shared" si="1"/>
        <v>5</v>
      </c>
      <c r="L76" s="77"/>
      <c r="M76" s="84"/>
    </row>
    <row r="77" ht="24.75" customHeight="1" spans="1:13">
      <c r="A77" s="46"/>
      <c r="B77" s="69"/>
      <c r="C77" s="40"/>
      <c r="D77" s="40"/>
      <c r="E77" s="40"/>
      <c r="F77" s="48" t="s">
        <v>309</v>
      </c>
      <c r="G77" s="21" t="s">
        <v>310</v>
      </c>
      <c r="H77" s="53"/>
      <c r="I77" s="71">
        <v>3</v>
      </c>
      <c r="J77" s="72" t="s">
        <v>43</v>
      </c>
      <c r="K77" s="75">
        <f t="shared" si="1"/>
        <v>3</v>
      </c>
      <c r="L77" s="77"/>
      <c r="M77" s="84"/>
    </row>
    <row r="78" ht="18.25" customHeight="1" spans="1:13">
      <c r="A78" s="46"/>
      <c r="B78" s="69"/>
      <c r="C78" s="90"/>
      <c r="D78" s="90"/>
      <c r="E78" s="90"/>
      <c r="F78" s="48" t="s">
        <v>311</v>
      </c>
      <c r="G78" s="21" t="s">
        <v>312</v>
      </c>
      <c r="H78" s="53"/>
      <c r="I78" s="71">
        <v>5</v>
      </c>
      <c r="J78" s="72" t="s">
        <v>43</v>
      </c>
      <c r="K78" s="75">
        <f t="shared" si="1"/>
        <v>5</v>
      </c>
      <c r="L78" s="77"/>
      <c r="M78" s="84"/>
    </row>
    <row r="79" ht="17.25" customHeight="1" spans="1:13">
      <c r="A79" s="46"/>
      <c r="B79" s="69"/>
      <c r="C79" s="38" t="s">
        <v>313</v>
      </c>
      <c r="D79" s="38"/>
      <c r="E79" s="38" t="s">
        <v>749</v>
      </c>
      <c r="F79" s="48" t="s">
        <v>314</v>
      </c>
      <c r="G79" s="21" t="s">
        <v>315</v>
      </c>
      <c r="H79" s="53"/>
      <c r="I79" s="71">
        <v>1</v>
      </c>
      <c r="J79" s="72" t="s">
        <v>43</v>
      </c>
      <c r="K79" s="75">
        <f t="shared" si="1"/>
        <v>1</v>
      </c>
      <c r="L79" s="77"/>
      <c r="M79" s="84"/>
    </row>
    <row r="80" ht="17.25" customHeight="1" spans="1:13">
      <c r="A80" s="46"/>
      <c r="B80" s="69"/>
      <c r="C80" s="40"/>
      <c r="D80" s="40"/>
      <c r="E80" s="40"/>
      <c r="F80" s="48" t="s">
        <v>317</v>
      </c>
      <c r="G80" s="21" t="s">
        <v>318</v>
      </c>
      <c r="H80" s="53"/>
      <c r="I80" s="71">
        <v>3</v>
      </c>
      <c r="J80" s="72" t="s">
        <v>43</v>
      </c>
      <c r="K80" s="75">
        <f t="shared" si="1"/>
        <v>3</v>
      </c>
      <c r="L80" s="77"/>
      <c r="M80" s="84"/>
    </row>
    <row r="81" ht="17.25" customHeight="1" spans="1:13">
      <c r="A81" s="46"/>
      <c r="B81" s="69"/>
      <c r="C81" s="40"/>
      <c r="D81" s="40"/>
      <c r="E81" s="40"/>
      <c r="F81" s="48" t="s">
        <v>319</v>
      </c>
      <c r="G81" s="21" t="s">
        <v>320</v>
      </c>
      <c r="H81" s="53"/>
      <c r="I81" s="71">
        <v>3</v>
      </c>
      <c r="J81" s="72" t="s">
        <v>43</v>
      </c>
      <c r="K81" s="75">
        <f t="shared" si="1"/>
        <v>3</v>
      </c>
      <c r="L81" s="77"/>
      <c r="M81" s="84"/>
    </row>
    <row r="82" ht="17.25" customHeight="1" spans="1:13">
      <c r="A82" s="46"/>
      <c r="B82" s="69"/>
      <c r="C82" s="90"/>
      <c r="D82" s="90"/>
      <c r="E82" s="90"/>
      <c r="F82" s="48" t="s">
        <v>321</v>
      </c>
      <c r="G82" s="21" t="s">
        <v>322</v>
      </c>
      <c r="H82" s="53"/>
      <c r="I82" s="71">
        <v>3</v>
      </c>
      <c r="J82" s="72" t="s">
        <v>43</v>
      </c>
      <c r="K82" s="75">
        <f t="shared" si="1"/>
        <v>3</v>
      </c>
      <c r="L82" s="77"/>
      <c r="M82" s="84"/>
    </row>
    <row r="83" ht="17.25" customHeight="1" spans="1:13">
      <c r="A83" s="46"/>
      <c r="B83" s="69"/>
      <c r="C83" s="91" t="s">
        <v>323</v>
      </c>
      <c r="D83" s="91"/>
      <c r="E83" s="91" t="s">
        <v>323</v>
      </c>
      <c r="F83" s="48" t="s">
        <v>314</v>
      </c>
      <c r="G83" s="21" t="s">
        <v>324</v>
      </c>
      <c r="H83" s="53"/>
      <c r="I83" s="71">
        <v>2</v>
      </c>
      <c r="J83" s="72" t="s">
        <v>43</v>
      </c>
      <c r="K83" s="75">
        <f t="shared" si="1"/>
        <v>2</v>
      </c>
      <c r="L83" s="77"/>
      <c r="M83" s="84"/>
    </row>
    <row r="84" ht="17.25" customHeight="1" spans="1:13">
      <c r="A84" s="46"/>
      <c r="B84" s="69"/>
      <c r="C84" s="40"/>
      <c r="D84" s="40"/>
      <c r="E84" s="40"/>
      <c r="F84" s="48" t="s">
        <v>326</v>
      </c>
      <c r="G84" s="21" t="s">
        <v>327</v>
      </c>
      <c r="H84" s="53"/>
      <c r="I84" s="71">
        <v>1</v>
      </c>
      <c r="J84" s="72" t="s">
        <v>43</v>
      </c>
      <c r="K84" s="75">
        <f t="shared" si="1"/>
        <v>1</v>
      </c>
      <c r="L84" s="77"/>
      <c r="M84" s="84"/>
    </row>
    <row r="85" ht="17.25" customHeight="1" spans="1:13">
      <c r="A85" s="46"/>
      <c r="B85" s="69"/>
      <c r="C85" s="40"/>
      <c r="D85" s="40"/>
      <c r="E85" s="40"/>
      <c r="F85" s="48" t="s">
        <v>328</v>
      </c>
      <c r="G85" s="21" t="s">
        <v>329</v>
      </c>
      <c r="H85" s="53"/>
      <c r="I85" s="71">
        <v>3</v>
      </c>
      <c r="J85" s="72" t="s">
        <v>43</v>
      </c>
      <c r="K85" s="75">
        <f t="shared" si="1"/>
        <v>3</v>
      </c>
      <c r="L85" s="77"/>
      <c r="M85" s="84"/>
    </row>
    <row r="86" ht="17.25" customHeight="1" spans="1:13">
      <c r="A86" s="46"/>
      <c r="B86" s="70"/>
      <c r="C86" s="90"/>
      <c r="D86" s="90"/>
      <c r="E86" s="90"/>
      <c r="F86" s="48" t="s">
        <v>330</v>
      </c>
      <c r="G86" s="21" t="s">
        <v>331</v>
      </c>
      <c r="H86" s="53"/>
      <c r="I86" s="71">
        <v>2</v>
      </c>
      <c r="J86" s="72" t="s">
        <v>43</v>
      </c>
      <c r="K86" s="75">
        <f t="shared" si="1"/>
        <v>2</v>
      </c>
      <c r="L86" s="79"/>
      <c r="M86" s="84"/>
    </row>
    <row r="87" ht="17.25" customHeight="1" spans="1:13">
      <c r="A87" s="46"/>
      <c r="B87" s="102" t="s">
        <v>378</v>
      </c>
      <c r="C87" s="47" t="s">
        <v>379</v>
      </c>
      <c r="D87" s="38"/>
      <c r="E87" s="47" t="s">
        <v>379</v>
      </c>
      <c r="F87" s="48" t="s">
        <v>380</v>
      </c>
      <c r="G87" s="21" t="s">
        <v>381</v>
      </c>
      <c r="H87" s="53" t="s">
        <v>382</v>
      </c>
      <c r="I87" s="71">
        <v>1</v>
      </c>
      <c r="J87" s="72" t="s">
        <v>43</v>
      </c>
      <c r="K87" s="75">
        <f t="shared" si="1"/>
        <v>1</v>
      </c>
      <c r="L87" s="78">
        <f>SUM(K87:K94)</f>
        <v>6</v>
      </c>
      <c r="M87" s="84"/>
    </row>
    <row r="88" ht="17.25" customHeight="1" spans="1:13">
      <c r="A88" s="46"/>
      <c r="B88" s="100"/>
      <c r="C88" s="52"/>
      <c r="D88" s="40"/>
      <c r="E88" s="52"/>
      <c r="F88" s="48" t="s">
        <v>383</v>
      </c>
      <c r="G88" s="21" t="s">
        <v>384</v>
      </c>
      <c r="H88" s="53"/>
      <c r="I88" s="71">
        <v>1</v>
      </c>
      <c r="J88" s="72" t="s">
        <v>43</v>
      </c>
      <c r="K88" s="75">
        <f t="shared" si="1"/>
        <v>1</v>
      </c>
      <c r="L88" s="77"/>
      <c r="M88" s="84"/>
    </row>
    <row r="89" ht="17.25" customHeight="1" spans="1:13">
      <c r="A89" s="46"/>
      <c r="B89" s="100"/>
      <c r="C89" s="52"/>
      <c r="D89" s="40"/>
      <c r="E89" s="52"/>
      <c r="F89" s="48" t="s">
        <v>386</v>
      </c>
      <c r="G89" s="21" t="s">
        <v>387</v>
      </c>
      <c r="H89" s="53"/>
      <c r="I89" s="71">
        <v>1</v>
      </c>
      <c r="J89" s="72" t="s">
        <v>43</v>
      </c>
      <c r="K89" s="75">
        <f t="shared" si="1"/>
        <v>1</v>
      </c>
      <c r="L89" s="77"/>
      <c r="M89" s="84"/>
    </row>
    <row r="90" ht="17.25" customHeight="1" spans="1:13">
      <c r="A90" s="46"/>
      <c r="B90" s="100"/>
      <c r="C90" s="52"/>
      <c r="D90" s="40"/>
      <c r="E90" s="52"/>
      <c r="F90" s="48" t="s">
        <v>388</v>
      </c>
      <c r="G90" s="21" t="s">
        <v>389</v>
      </c>
      <c r="H90" s="53"/>
      <c r="I90" s="71">
        <v>1</v>
      </c>
      <c r="J90" s="72" t="s">
        <v>43</v>
      </c>
      <c r="K90" s="75">
        <f t="shared" si="1"/>
        <v>1</v>
      </c>
      <c r="L90" s="77"/>
      <c r="M90" s="84"/>
    </row>
    <row r="91" ht="17.25" customHeight="1" spans="1:13">
      <c r="A91" s="46"/>
      <c r="B91" s="100"/>
      <c r="C91" s="52"/>
      <c r="D91" s="40"/>
      <c r="E91" s="52"/>
      <c r="F91" s="48" t="s">
        <v>390</v>
      </c>
      <c r="G91" s="21" t="s">
        <v>391</v>
      </c>
      <c r="H91" s="53"/>
      <c r="I91" s="71">
        <v>1</v>
      </c>
      <c r="J91" s="72" t="s">
        <v>43</v>
      </c>
      <c r="K91" s="75">
        <f t="shared" si="1"/>
        <v>1</v>
      </c>
      <c r="L91" s="77"/>
      <c r="M91" s="84"/>
    </row>
    <row r="92" ht="17.25" customHeight="1" spans="1:13">
      <c r="A92" s="46"/>
      <c r="B92" s="100"/>
      <c r="C92" s="52"/>
      <c r="D92" s="40"/>
      <c r="E92" s="52"/>
      <c r="F92" s="48" t="s">
        <v>392</v>
      </c>
      <c r="G92" s="21" t="s">
        <v>393</v>
      </c>
      <c r="H92" s="53"/>
      <c r="I92" s="71">
        <v>0</v>
      </c>
      <c r="J92" s="72" t="s">
        <v>43</v>
      </c>
      <c r="K92" s="75">
        <f t="shared" si="1"/>
        <v>0</v>
      </c>
      <c r="L92" s="77"/>
      <c r="M92" s="84"/>
    </row>
    <row r="93" ht="17.25" customHeight="1" spans="1:13">
      <c r="A93" s="46"/>
      <c r="B93" s="100"/>
      <c r="C93" s="52"/>
      <c r="D93" s="90"/>
      <c r="E93" s="52"/>
      <c r="F93" s="48" t="s">
        <v>395</v>
      </c>
      <c r="G93" s="21" t="s">
        <v>396</v>
      </c>
      <c r="H93" s="53"/>
      <c r="I93" s="71">
        <v>0</v>
      </c>
      <c r="J93" s="72" t="s">
        <v>43</v>
      </c>
      <c r="K93" s="75">
        <f t="shared" si="1"/>
        <v>0</v>
      </c>
      <c r="L93" s="77"/>
      <c r="M93" s="84"/>
    </row>
    <row r="94" ht="17.25" customHeight="1" spans="1:13">
      <c r="A94" s="46"/>
      <c r="B94" s="100"/>
      <c r="C94" s="52" t="s">
        <v>398</v>
      </c>
      <c r="D94" s="52"/>
      <c r="E94" s="52" t="s">
        <v>398</v>
      </c>
      <c r="F94" s="48" t="s">
        <v>398</v>
      </c>
      <c r="G94" s="21" t="s">
        <v>399</v>
      </c>
      <c r="H94" s="53"/>
      <c r="I94" s="71">
        <v>1</v>
      </c>
      <c r="J94" s="72" t="s">
        <v>43</v>
      </c>
      <c r="K94" s="75">
        <f t="shared" si="1"/>
        <v>1</v>
      </c>
      <c r="L94" s="79"/>
      <c r="M94" s="84"/>
    </row>
    <row r="95" ht="17.25" customHeight="1" spans="1:13">
      <c r="A95" s="46"/>
      <c r="B95" s="102" t="s">
        <v>443</v>
      </c>
      <c r="C95" s="52" t="s">
        <v>444</v>
      </c>
      <c r="D95" s="52"/>
      <c r="E95" s="52" t="s">
        <v>444</v>
      </c>
      <c r="F95" s="48" t="s">
        <v>445</v>
      </c>
      <c r="G95" s="21" t="s">
        <v>445</v>
      </c>
      <c r="H95" s="53" t="s">
        <v>446</v>
      </c>
      <c r="I95" s="71">
        <v>30</v>
      </c>
      <c r="J95" s="72" t="s">
        <v>43</v>
      </c>
      <c r="K95" s="75">
        <f t="shared" si="1"/>
        <v>30</v>
      </c>
      <c r="L95" s="78">
        <f>SUM(K95:K96)</f>
        <v>50</v>
      </c>
      <c r="M95" s="84"/>
    </row>
    <row r="96" ht="17.25" customHeight="1" spans="1:13">
      <c r="A96" s="46"/>
      <c r="B96" s="67"/>
      <c r="C96" s="52" t="s">
        <v>447</v>
      </c>
      <c r="D96" s="52"/>
      <c r="E96" s="52" t="s">
        <v>447</v>
      </c>
      <c r="F96" s="48" t="s">
        <v>447</v>
      </c>
      <c r="G96" s="21" t="s">
        <v>448</v>
      </c>
      <c r="H96" s="53" t="s">
        <v>449</v>
      </c>
      <c r="I96" s="71">
        <v>20</v>
      </c>
      <c r="J96" s="72" t="s">
        <v>43</v>
      </c>
      <c r="K96" s="75">
        <f t="shared" si="1"/>
        <v>20</v>
      </c>
      <c r="L96" s="79"/>
      <c r="M96" s="84"/>
    </row>
    <row r="97" ht="17.25" customHeight="1" spans="1:13">
      <c r="A97" s="46"/>
      <c r="B97" s="160" t="s">
        <v>752</v>
      </c>
      <c r="C97" s="47" t="s">
        <v>408</v>
      </c>
      <c r="D97" s="87"/>
      <c r="E97" s="52" t="s">
        <v>431</v>
      </c>
      <c r="F97" s="48" t="s">
        <v>431</v>
      </c>
      <c r="G97" s="21" t="s">
        <v>432</v>
      </c>
      <c r="H97" s="57" t="s">
        <v>433</v>
      </c>
      <c r="I97" s="80">
        <v>6</v>
      </c>
      <c r="J97" s="72" t="s">
        <v>43</v>
      </c>
      <c r="K97" s="73">
        <f t="shared" si="1"/>
        <v>6</v>
      </c>
      <c r="L97" s="74">
        <f>SUM(K97:K106)</f>
        <v>87</v>
      </c>
      <c r="M97" s="84"/>
    </row>
    <row r="98" ht="17.25" customHeight="1" spans="1:13">
      <c r="A98" s="46"/>
      <c r="B98" s="161"/>
      <c r="C98" s="52"/>
      <c r="D98" s="40"/>
      <c r="E98" s="15" t="s">
        <v>81</v>
      </c>
      <c r="F98" s="48" t="s">
        <v>82</v>
      </c>
      <c r="G98" s="56" t="s">
        <v>83</v>
      </c>
      <c r="H98" s="57" t="s">
        <v>84</v>
      </c>
      <c r="I98" s="71">
        <v>6</v>
      </c>
      <c r="J98" s="72" t="s">
        <v>43</v>
      </c>
      <c r="K98" s="73">
        <f t="shared" si="1"/>
        <v>6</v>
      </c>
      <c r="L98" s="75"/>
      <c r="M98" s="84"/>
    </row>
    <row r="99" ht="17.25" customHeight="1" spans="1:13">
      <c r="A99" s="46"/>
      <c r="B99" s="161"/>
      <c r="C99" s="52"/>
      <c r="D99" s="40"/>
      <c r="E99" s="15" t="s">
        <v>409</v>
      </c>
      <c r="F99" s="48" t="s">
        <v>409</v>
      </c>
      <c r="G99" s="56" t="s">
        <v>410</v>
      </c>
      <c r="H99" s="57"/>
      <c r="I99" s="80">
        <v>6</v>
      </c>
      <c r="J99" s="72" t="s">
        <v>43</v>
      </c>
      <c r="K99" s="73">
        <f t="shared" si="1"/>
        <v>6</v>
      </c>
      <c r="L99" s="75"/>
      <c r="M99" s="84"/>
    </row>
    <row r="100" ht="17.25" customHeight="1" spans="1:13">
      <c r="A100" s="46"/>
      <c r="B100" s="161"/>
      <c r="C100" s="52"/>
      <c r="D100" s="40"/>
      <c r="E100" s="15" t="s">
        <v>411</v>
      </c>
      <c r="F100" s="48" t="s">
        <v>412</v>
      </c>
      <c r="G100" s="56" t="s">
        <v>413</v>
      </c>
      <c r="H100" s="57" t="s">
        <v>414</v>
      </c>
      <c r="I100" s="80">
        <v>6</v>
      </c>
      <c r="J100" s="72" t="s">
        <v>43</v>
      </c>
      <c r="K100" s="73">
        <f t="shared" si="1"/>
        <v>6</v>
      </c>
      <c r="L100" s="75"/>
      <c r="M100" s="84"/>
    </row>
    <row r="101" ht="17.25" customHeight="1" spans="1:13">
      <c r="A101" s="46"/>
      <c r="B101" s="161"/>
      <c r="C101" s="52"/>
      <c r="D101" s="40"/>
      <c r="E101" s="15" t="s">
        <v>415</v>
      </c>
      <c r="F101" s="48" t="s">
        <v>753</v>
      </c>
      <c r="G101" s="56" t="s">
        <v>417</v>
      </c>
      <c r="H101" s="57" t="s">
        <v>418</v>
      </c>
      <c r="I101" s="80">
        <v>6</v>
      </c>
      <c r="J101" s="72" t="s">
        <v>43</v>
      </c>
      <c r="K101" s="75">
        <f t="shared" si="1"/>
        <v>6</v>
      </c>
      <c r="L101" s="77"/>
      <c r="M101" s="84"/>
    </row>
    <row r="102" ht="17.25" customHeight="1" spans="1:13">
      <c r="A102" s="46"/>
      <c r="B102" s="161"/>
      <c r="C102" s="52"/>
      <c r="D102" s="40"/>
      <c r="E102" s="15" t="s">
        <v>419</v>
      </c>
      <c r="F102" s="86" t="s">
        <v>754</v>
      </c>
      <c r="G102" s="59" t="s">
        <v>421</v>
      </c>
      <c r="H102" s="60" t="s">
        <v>422</v>
      </c>
      <c r="I102" s="81">
        <v>15</v>
      </c>
      <c r="J102" s="72" t="s">
        <v>43</v>
      </c>
      <c r="K102" s="75">
        <f t="shared" si="1"/>
        <v>15</v>
      </c>
      <c r="L102" s="77"/>
      <c r="M102" s="84"/>
    </row>
    <row r="103" ht="17.25" customHeight="1" spans="1:13">
      <c r="A103" s="46"/>
      <c r="B103" s="161"/>
      <c r="C103" s="52"/>
      <c r="D103" s="40"/>
      <c r="E103" s="15" t="s">
        <v>423</v>
      </c>
      <c r="F103" s="86" t="s">
        <v>423</v>
      </c>
      <c r="G103" s="59" t="s">
        <v>425</v>
      </c>
      <c r="H103" s="60" t="s">
        <v>426</v>
      </c>
      <c r="I103" s="81">
        <v>15</v>
      </c>
      <c r="J103" s="72" t="s">
        <v>43</v>
      </c>
      <c r="K103" s="73">
        <f t="shared" si="1"/>
        <v>15</v>
      </c>
      <c r="L103" s="75"/>
      <c r="M103" s="84"/>
    </row>
    <row r="104" ht="17.25" customHeight="1" spans="1:13">
      <c r="A104" s="46"/>
      <c r="B104" s="161"/>
      <c r="C104" s="52"/>
      <c r="D104" s="40"/>
      <c r="E104" s="15" t="s">
        <v>427</v>
      </c>
      <c r="F104" s="48" t="s">
        <v>428</v>
      </c>
      <c r="G104" s="56" t="s">
        <v>429</v>
      </c>
      <c r="H104" s="57" t="s">
        <v>430</v>
      </c>
      <c r="I104" s="80">
        <v>10</v>
      </c>
      <c r="J104" s="72" t="s">
        <v>43</v>
      </c>
      <c r="K104" s="73">
        <f t="shared" si="1"/>
        <v>10</v>
      </c>
      <c r="L104" s="75"/>
      <c r="M104" s="84"/>
    </row>
    <row r="105" ht="17.25" customHeight="1" spans="1:13">
      <c r="A105" s="46"/>
      <c r="B105" s="161"/>
      <c r="C105" s="52"/>
      <c r="D105" s="40"/>
      <c r="E105" s="15" t="s">
        <v>758</v>
      </c>
      <c r="F105" s="48" t="s">
        <v>758</v>
      </c>
      <c r="G105" s="21" t="s">
        <v>759</v>
      </c>
      <c r="H105" s="53" t="s">
        <v>760</v>
      </c>
      <c r="I105" s="71">
        <v>5</v>
      </c>
      <c r="J105" s="72" t="s">
        <v>43</v>
      </c>
      <c r="K105" s="73">
        <f t="shared" si="1"/>
        <v>5</v>
      </c>
      <c r="L105" s="75"/>
      <c r="M105" s="84"/>
    </row>
    <row r="106" ht="17.25" customHeight="1" spans="1:13">
      <c r="A106" s="46"/>
      <c r="B106" s="161"/>
      <c r="C106" s="52"/>
      <c r="D106" s="40"/>
      <c r="E106" s="15" t="s">
        <v>85</v>
      </c>
      <c r="F106" s="48" t="s">
        <v>85</v>
      </c>
      <c r="G106" s="139" t="s">
        <v>86</v>
      </c>
      <c r="H106" s="140" t="s">
        <v>87</v>
      </c>
      <c r="I106" s="162">
        <v>12</v>
      </c>
      <c r="J106" s="72" t="s">
        <v>43</v>
      </c>
      <c r="K106" s="73">
        <f t="shared" si="1"/>
        <v>12</v>
      </c>
      <c r="L106" s="75"/>
      <c r="M106" s="84"/>
    </row>
    <row r="107" ht="17.25" customHeight="1" spans="1:13">
      <c r="A107" s="46"/>
      <c r="B107" s="161"/>
      <c r="C107" s="47" t="s">
        <v>453</v>
      </c>
      <c r="D107" s="47"/>
      <c r="E107" s="52" t="s">
        <v>454</v>
      </c>
      <c r="F107" s="48" t="s">
        <v>454</v>
      </c>
      <c r="G107" s="56" t="s">
        <v>455</v>
      </c>
      <c r="H107" s="57" t="s">
        <v>456</v>
      </c>
      <c r="I107" s="54">
        <v>6</v>
      </c>
      <c r="J107" s="72" t="s">
        <v>43</v>
      </c>
      <c r="K107" s="73">
        <f t="shared" si="1"/>
        <v>6</v>
      </c>
      <c r="L107" s="74">
        <f>SUM(K107:K131)</f>
        <v>169</v>
      </c>
      <c r="M107" s="84"/>
    </row>
    <row r="108" ht="17.25" customHeight="1" spans="1:13">
      <c r="A108" s="46"/>
      <c r="B108" s="161"/>
      <c r="C108" s="52"/>
      <c r="D108" s="52"/>
      <c r="E108" s="52" t="s">
        <v>458</v>
      </c>
      <c r="F108" s="86" t="s">
        <v>458</v>
      </c>
      <c r="G108" s="59" t="s">
        <v>459</v>
      </c>
      <c r="H108" s="60" t="s">
        <v>460</v>
      </c>
      <c r="I108" s="58">
        <v>12</v>
      </c>
      <c r="J108" s="72" t="s">
        <v>43</v>
      </c>
      <c r="K108" s="73">
        <f t="shared" si="1"/>
        <v>12</v>
      </c>
      <c r="L108" s="75"/>
      <c r="M108" s="84"/>
    </row>
    <row r="109" ht="17.25" customHeight="1" spans="1:13">
      <c r="A109" s="46"/>
      <c r="B109" s="161"/>
      <c r="C109" s="52"/>
      <c r="D109" s="52"/>
      <c r="E109" s="52" t="s">
        <v>462</v>
      </c>
      <c r="F109" s="86" t="s">
        <v>462</v>
      </c>
      <c r="G109" s="59" t="s">
        <v>463</v>
      </c>
      <c r="H109" s="60" t="s">
        <v>464</v>
      </c>
      <c r="I109" s="58">
        <v>6</v>
      </c>
      <c r="J109" s="72" t="s">
        <v>43</v>
      </c>
      <c r="K109" s="73">
        <f t="shared" si="1"/>
        <v>6</v>
      </c>
      <c r="L109" s="75"/>
      <c r="M109" s="84"/>
    </row>
    <row r="110" ht="17.25" customHeight="1" spans="1:13">
      <c r="A110" s="46"/>
      <c r="B110" s="161"/>
      <c r="C110" s="52"/>
      <c r="D110" s="52"/>
      <c r="E110" s="52" t="s">
        <v>466</v>
      </c>
      <c r="F110" s="86" t="s">
        <v>466</v>
      </c>
      <c r="G110" s="59" t="s">
        <v>467</v>
      </c>
      <c r="H110" s="60" t="s">
        <v>468</v>
      </c>
      <c r="I110" s="58">
        <v>10</v>
      </c>
      <c r="J110" s="72" t="s">
        <v>43</v>
      </c>
      <c r="K110" s="73">
        <f t="shared" si="1"/>
        <v>10</v>
      </c>
      <c r="L110" s="75"/>
      <c r="M110" s="84"/>
    </row>
    <row r="111" ht="17.25" customHeight="1" spans="1:13">
      <c r="A111" s="46"/>
      <c r="B111" s="161"/>
      <c r="C111" s="52"/>
      <c r="D111" s="52"/>
      <c r="E111" s="52" t="s">
        <v>470</v>
      </c>
      <c r="F111" s="48" t="s">
        <v>470</v>
      </c>
      <c r="G111" s="56" t="s">
        <v>762</v>
      </c>
      <c r="H111" s="57" t="s">
        <v>763</v>
      </c>
      <c r="I111" s="48">
        <v>9</v>
      </c>
      <c r="J111" s="72" t="s">
        <v>43</v>
      </c>
      <c r="K111" s="73">
        <f t="shared" si="1"/>
        <v>9</v>
      </c>
      <c r="L111" s="75"/>
      <c r="M111" s="84"/>
    </row>
    <row r="112" ht="17.25" customHeight="1" spans="1:13">
      <c r="A112" s="46"/>
      <c r="B112" s="161"/>
      <c r="C112" s="52"/>
      <c r="D112" s="52"/>
      <c r="E112" s="52" t="s">
        <v>496</v>
      </c>
      <c r="F112" s="48" t="s">
        <v>497</v>
      </c>
      <c r="G112" s="56" t="s">
        <v>498</v>
      </c>
      <c r="H112" s="57" t="s">
        <v>499</v>
      </c>
      <c r="I112" s="54">
        <v>3</v>
      </c>
      <c r="J112" s="72" t="s">
        <v>43</v>
      </c>
      <c r="K112" s="73">
        <f t="shared" si="1"/>
        <v>3</v>
      </c>
      <c r="L112" s="75"/>
      <c r="M112" s="84"/>
    </row>
    <row r="113" ht="17.25" customHeight="1" spans="1:13">
      <c r="A113" s="46"/>
      <c r="B113" s="161"/>
      <c r="C113" s="52"/>
      <c r="D113" s="52"/>
      <c r="E113" s="52" t="s">
        <v>764</v>
      </c>
      <c r="F113" s="48" t="s">
        <v>765</v>
      </c>
      <c r="G113" s="56" t="s">
        <v>766</v>
      </c>
      <c r="H113" s="57" t="s">
        <v>767</v>
      </c>
      <c r="I113" s="54">
        <v>10</v>
      </c>
      <c r="J113" s="72" t="s">
        <v>43</v>
      </c>
      <c r="K113" s="73">
        <f t="shared" si="1"/>
        <v>10</v>
      </c>
      <c r="L113" s="75"/>
      <c r="M113" s="84"/>
    </row>
    <row r="114" ht="17.25" customHeight="1" spans="1:13">
      <c r="A114" s="46"/>
      <c r="B114" s="161"/>
      <c r="C114" s="52"/>
      <c r="D114" s="52"/>
      <c r="E114" s="52" t="s">
        <v>768</v>
      </c>
      <c r="F114" s="48" t="s">
        <v>768</v>
      </c>
      <c r="G114" s="56" t="s">
        <v>769</v>
      </c>
      <c r="H114" s="57"/>
      <c r="I114" s="54">
        <v>8</v>
      </c>
      <c r="J114" s="72" t="s">
        <v>43</v>
      </c>
      <c r="K114" s="73">
        <f t="shared" si="1"/>
        <v>8</v>
      </c>
      <c r="L114" s="75"/>
      <c r="M114" s="84"/>
    </row>
    <row r="115" ht="17.25" customHeight="1" spans="1:13">
      <c r="A115" s="46"/>
      <c r="B115" s="161"/>
      <c r="C115" s="52"/>
      <c r="D115" s="52"/>
      <c r="E115" s="52" t="s">
        <v>770</v>
      </c>
      <c r="F115" s="48" t="s">
        <v>770</v>
      </c>
      <c r="G115" s="56" t="s">
        <v>771</v>
      </c>
      <c r="H115" s="57" t="s">
        <v>476</v>
      </c>
      <c r="I115" s="54">
        <v>6</v>
      </c>
      <c r="J115" s="72" t="s">
        <v>43</v>
      </c>
      <c r="K115" s="73">
        <f t="shared" si="1"/>
        <v>6</v>
      </c>
      <c r="L115" s="75"/>
      <c r="M115" s="84"/>
    </row>
    <row r="116" ht="17.25" customHeight="1" spans="1:13">
      <c r="A116" s="46"/>
      <c r="B116" s="161"/>
      <c r="C116" s="52"/>
      <c r="D116" s="52"/>
      <c r="E116" s="52" t="s">
        <v>772</v>
      </c>
      <c r="F116" s="48" t="s">
        <v>772</v>
      </c>
      <c r="G116" s="56" t="s">
        <v>773</v>
      </c>
      <c r="H116" s="57" t="s">
        <v>476</v>
      </c>
      <c r="I116" s="54">
        <v>6</v>
      </c>
      <c r="J116" s="72" t="s">
        <v>43</v>
      </c>
      <c r="K116" s="73">
        <f t="shared" si="1"/>
        <v>6</v>
      </c>
      <c r="L116" s="75"/>
      <c r="M116" s="84"/>
    </row>
    <row r="117" ht="17.25" customHeight="1" spans="1:13">
      <c r="A117" s="46"/>
      <c r="B117" s="161"/>
      <c r="C117" s="52"/>
      <c r="D117" s="52"/>
      <c r="E117" s="52" t="s">
        <v>774</v>
      </c>
      <c r="F117" s="48" t="s">
        <v>774</v>
      </c>
      <c r="G117" s="56" t="s">
        <v>775</v>
      </c>
      <c r="H117" s="60" t="s">
        <v>776</v>
      </c>
      <c r="I117" s="54">
        <v>6</v>
      </c>
      <c r="J117" s="72" t="s">
        <v>43</v>
      </c>
      <c r="K117" s="73">
        <f t="shared" si="1"/>
        <v>6</v>
      </c>
      <c r="L117" s="75"/>
      <c r="M117" s="84"/>
    </row>
    <row r="118" ht="17.25" customHeight="1" spans="1:13">
      <c r="A118" s="46"/>
      <c r="B118" s="161"/>
      <c r="C118" s="52"/>
      <c r="D118" s="52"/>
      <c r="E118" s="52" t="s">
        <v>777</v>
      </c>
      <c r="F118" s="48" t="s">
        <v>777</v>
      </c>
      <c r="G118" s="56" t="s">
        <v>778</v>
      </c>
      <c r="H118" s="60" t="s">
        <v>776</v>
      </c>
      <c r="I118" s="54">
        <v>6</v>
      </c>
      <c r="J118" s="72" t="s">
        <v>43</v>
      </c>
      <c r="K118" s="73">
        <f t="shared" si="1"/>
        <v>6</v>
      </c>
      <c r="L118" s="75"/>
      <c r="M118" s="84"/>
    </row>
    <row r="119" ht="17.25" customHeight="1" spans="1:13">
      <c r="A119" s="46"/>
      <c r="B119" s="161"/>
      <c r="C119" s="52"/>
      <c r="D119" s="52"/>
      <c r="E119" s="52" t="s">
        <v>779</v>
      </c>
      <c r="F119" s="48" t="s">
        <v>779</v>
      </c>
      <c r="G119" s="21" t="s">
        <v>780</v>
      </c>
      <c r="H119" s="53" t="s">
        <v>781</v>
      </c>
      <c r="I119" s="48">
        <v>4</v>
      </c>
      <c r="J119" s="72" t="s">
        <v>43</v>
      </c>
      <c r="K119" s="73">
        <f t="shared" si="1"/>
        <v>4</v>
      </c>
      <c r="L119" s="75"/>
      <c r="M119" s="84"/>
    </row>
    <row r="120" ht="17.25" customHeight="1" spans="1:13">
      <c r="A120" s="46"/>
      <c r="B120" s="161"/>
      <c r="C120" s="52"/>
      <c r="D120" s="52"/>
      <c r="E120" s="52" t="s">
        <v>474</v>
      </c>
      <c r="F120" s="48" t="s">
        <v>474</v>
      </c>
      <c r="G120" s="56" t="s">
        <v>475</v>
      </c>
      <c r="H120" s="57" t="s">
        <v>476</v>
      </c>
      <c r="I120" s="54">
        <v>6</v>
      </c>
      <c r="J120" s="72" t="s">
        <v>43</v>
      </c>
      <c r="K120" s="73">
        <f t="shared" si="1"/>
        <v>6</v>
      </c>
      <c r="L120" s="75"/>
      <c r="M120" s="84"/>
    </row>
    <row r="121" ht="17.25" customHeight="1" spans="1:13">
      <c r="A121" s="46"/>
      <c r="B121" s="161"/>
      <c r="C121" s="52"/>
      <c r="D121" s="52"/>
      <c r="E121" s="52" t="s">
        <v>477</v>
      </c>
      <c r="F121" s="86" t="s">
        <v>477</v>
      </c>
      <c r="G121" s="59" t="s">
        <v>478</v>
      </c>
      <c r="H121" s="60" t="s">
        <v>479</v>
      </c>
      <c r="I121" s="58">
        <v>6</v>
      </c>
      <c r="J121" s="72" t="s">
        <v>43</v>
      </c>
      <c r="K121" s="73">
        <f t="shared" si="1"/>
        <v>6</v>
      </c>
      <c r="L121" s="75"/>
      <c r="M121" s="84"/>
    </row>
    <row r="122" ht="17.25" customHeight="1" spans="1:13">
      <c r="A122" s="46"/>
      <c r="B122" s="161"/>
      <c r="C122" s="52"/>
      <c r="D122" s="52"/>
      <c r="E122" s="52" t="s">
        <v>480</v>
      </c>
      <c r="F122" s="48" t="s">
        <v>481</v>
      </c>
      <c r="G122" s="56" t="s">
        <v>482</v>
      </c>
      <c r="H122" s="57" t="s">
        <v>483</v>
      </c>
      <c r="I122" s="54">
        <v>6</v>
      </c>
      <c r="J122" s="72" t="s">
        <v>43</v>
      </c>
      <c r="K122" s="73">
        <f t="shared" si="1"/>
        <v>6</v>
      </c>
      <c r="L122" s="75"/>
      <c r="M122" s="84"/>
    </row>
    <row r="123" ht="17.25" customHeight="1" spans="1:13">
      <c r="A123" s="46"/>
      <c r="B123" s="161"/>
      <c r="C123" s="52"/>
      <c r="D123" s="52"/>
      <c r="E123" s="52" t="s">
        <v>484</v>
      </c>
      <c r="F123" s="86" t="s">
        <v>484</v>
      </c>
      <c r="G123" s="59" t="s">
        <v>485</v>
      </c>
      <c r="H123" s="60" t="s">
        <v>476</v>
      </c>
      <c r="I123" s="58">
        <v>6</v>
      </c>
      <c r="J123" s="72" t="s">
        <v>43</v>
      </c>
      <c r="K123" s="73">
        <f t="shared" si="1"/>
        <v>6</v>
      </c>
      <c r="L123" s="75"/>
      <c r="M123" s="84"/>
    </row>
    <row r="124" ht="17.25" customHeight="1" spans="1:13">
      <c r="A124" s="46"/>
      <c r="B124" s="161"/>
      <c r="C124" s="52"/>
      <c r="D124" s="52"/>
      <c r="E124" s="52" t="s">
        <v>486</v>
      </c>
      <c r="F124" s="86" t="s">
        <v>486</v>
      </c>
      <c r="G124" s="59" t="s">
        <v>487</v>
      </c>
      <c r="H124" s="60" t="s">
        <v>476</v>
      </c>
      <c r="I124" s="58">
        <v>6</v>
      </c>
      <c r="J124" s="72" t="s">
        <v>43</v>
      </c>
      <c r="K124" s="73">
        <f t="shared" si="1"/>
        <v>6</v>
      </c>
      <c r="L124" s="75"/>
      <c r="M124" s="84"/>
    </row>
    <row r="125" ht="17.25" customHeight="1" spans="1:13">
      <c r="A125" s="46"/>
      <c r="B125" s="161"/>
      <c r="C125" s="52"/>
      <c r="D125" s="52"/>
      <c r="E125" s="52" t="s">
        <v>782</v>
      </c>
      <c r="F125" s="48" t="s">
        <v>782</v>
      </c>
      <c r="G125" s="21" t="s">
        <v>783</v>
      </c>
      <c r="H125" s="60" t="s">
        <v>476</v>
      </c>
      <c r="I125" s="48">
        <v>6</v>
      </c>
      <c r="J125" s="72" t="s">
        <v>43</v>
      </c>
      <c r="K125" s="73">
        <f t="shared" si="1"/>
        <v>6</v>
      </c>
      <c r="L125" s="75"/>
      <c r="M125" s="84"/>
    </row>
    <row r="126" ht="17.25" customHeight="1" spans="1:13">
      <c r="A126" s="46"/>
      <c r="B126" s="161"/>
      <c r="C126" s="52"/>
      <c r="D126" s="52"/>
      <c r="E126" s="52" t="s">
        <v>488</v>
      </c>
      <c r="F126" s="48" t="s">
        <v>488</v>
      </c>
      <c r="G126" s="21" t="s">
        <v>784</v>
      </c>
      <c r="H126" s="53"/>
      <c r="I126" s="48">
        <v>6</v>
      </c>
      <c r="J126" s="72" t="s">
        <v>43</v>
      </c>
      <c r="K126" s="73">
        <f t="shared" si="1"/>
        <v>6</v>
      </c>
      <c r="L126" s="75"/>
      <c r="M126" s="84"/>
    </row>
    <row r="127" ht="17.25" customHeight="1" spans="1:13">
      <c r="A127" s="46"/>
      <c r="B127" s="161"/>
      <c r="C127" s="52"/>
      <c r="D127" s="52"/>
      <c r="E127" s="52" t="s">
        <v>493</v>
      </c>
      <c r="F127" s="48" t="s">
        <v>493</v>
      </c>
      <c r="G127" s="56" t="s">
        <v>494</v>
      </c>
      <c r="H127" s="57" t="s">
        <v>495</v>
      </c>
      <c r="I127" s="54">
        <v>8</v>
      </c>
      <c r="J127" s="72" t="s">
        <v>43</v>
      </c>
      <c r="K127" s="73">
        <f t="shared" si="1"/>
        <v>8</v>
      </c>
      <c r="L127" s="75"/>
      <c r="M127" s="84"/>
    </row>
    <row r="128" ht="17.25" customHeight="1" spans="1:13">
      <c r="A128" s="46"/>
      <c r="B128" s="161"/>
      <c r="C128" s="52"/>
      <c r="D128" s="52"/>
      <c r="E128" s="52" t="s">
        <v>785</v>
      </c>
      <c r="F128" s="48" t="s">
        <v>785</v>
      </c>
      <c r="G128" s="56"/>
      <c r="H128" s="57" t="s">
        <v>786</v>
      </c>
      <c r="I128" s="54">
        <v>10</v>
      </c>
      <c r="J128" s="72" t="s">
        <v>43</v>
      </c>
      <c r="K128" s="73">
        <f t="shared" si="1"/>
        <v>10</v>
      </c>
      <c r="L128" s="75"/>
      <c r="M128" s="84"/>
    </row>
    <row r="129" ht="17.25" customHeight="1" spans="1:13">
      <c r="A129" s="46"/>
      <c r="B129" s="161"/>
      <c r="C129" s="52"/>
      <c r="D129" s="52"/>
      <c r="E129" s="52" t="s">
        <v>490</v>
      </c>
      <c r="F129" s="48" t="s">
        <v>490</v>
      </c>
      <c r="G129" s="56" t="s">
        <v>848</v>
      </c>
      <c r="H129" s="57" t="s">
        <v>492</v>
      </c>
      <c r="I129" s="54">
        <v>8</v>
      </c>
      <c r="J129" s="72" t="s">
        <v>43</v>
      </c>
      <c r="K129" s="73">
        <f t="shared" si="1"/>
        <v>8</v>
      </c>
      <c r="L129" s="75"/>
      <c r="M129" s="84"/>
    </row>
    <row r="130" ht="17.25" customHeight="1" spans="1:13">
      <c r="A130" s="46"/>
      <c r="B130" s="161"/>
      <c r="C130" s="52"/>
      <c r="D130" s="52"/>
      <c r="E130" s="52" t="s">
        <v>787</v>
      </c>
      <c r="F130" s="48" t="s">
        <v>787</v>
      </c>
      <c r="G130" s="21" t="s">
        <v>788</v>
      </c>
      <c r="H130" s="53"/>
      <c r="I130" s="48">
        <v>4</v>
      </c>
      <c r="J130" s="72" t="s">
        <v>43</v>
      </c>
      <c r="K130" s="73">
        <f t="shared" si="1"/>
        <v>4</v>
      </c>
      <c r="L130" s="75"/>
      <c r="M130" s="84"/>
    </row>
    <row r="131" ht="17.25" customHeight="1" spans="1:13">
      <c r="A131" s="46"/>
      <c r="B131" s="161"/>
      <c r="C131" s="52"/>
      <c r="D131" s="52"/>
      <c r="E131" s="52" t="s">
        <v>789</v>
      </c>
      <c r="F131" s="48" t="s">
        <v>789</v>
      </c>
      <c r="G131" s="21" t="s">
        <v>790</v>
      </c>
      <c r="H131" s="165"/>
      <c r="I131" s="138">
        <v>5</v>
      </c>
      <c r="J131" s="72" t="s">
        <v>43</v>
      </c>
      <c r="K131" s="73">
        <f t="shared" ref="K131:K145" si="2">IF(J131&lt;&gt;0,I131,0)</f>
        <v>5</v>
      </c>
      <c r="L131" s="75"/>
      <c r="M131" s="84"/>
    </row>
    <row r="132" ht="17.25" customHeight="1" spans="1:13">
      <c r="A132" s="46"/>
      <c r="B132" s="69"/>
      <c r="C132" s="163" t="s">
        <v>542</v>
      </c>
      <c r="D132" s="38"/>
      <c r="E132" s="52" t="s">
        <v>543</v>
      </c>
      <c r="F132" s="166" t="s">
        <v>544</v>
      </c>
      <c r="G132" s="21" t="s">
        <v>545</v>
      </c>
      <c r="H132" s="53"/>
      <c r="I132" s="71">
        <v>7</v>
      </c>
      <c r="J132" s="169" t="s">
        <v>43</v>
      </c>
      <c r="K132" s="79">
        <f t="shared" si="2"/>
        <v>7</v>
      </c>
      <c r="L132" s="76">
        <f>SUM(K132:K136)</f>
        <v>29</v>
      </c>
      <c r="M132" s="84"/>
    </row>
    <row r="133" ht="17.25" customHeight="1" spans="1:13">
      <c r="A133" s="46"/>
      <c r="B133" s="69"/>
      <c r="C133" s="92"/>
      <c r="D133" s="40"/>
      <c r="E133" s="90" t="s">
        <v>546</v>
      </c>
      <c r="F133" s="167" t="s">
        <v>547</v>
      </c>
      <c r="G133" s="21" t="s">
        <v>548</v>
      </c>
      <c r="H133" s="53"/>
      <c r="I133" s="71">
        <v>5</v>
      </c>
      <c r="J133" s="170" t="s">
        <v>43</v>
      </c>
      <c r="K133" s="75">
        <f t="shared" si="2"/>
        <v>5</v>
      </c>
      <c r="L133" s="77"/>
      <c r="M133" s="84"/>
    </row>
    <row r="134" ht="17.25" customHeight="1" spans="1:13">
      <c r="A134" s="46"/>
      <c r="B134" s="69"/>
      <c r="C134" s="92"/>
      <c r="D134" s="40"/>
      <c r="E134" s="52" t="s">
        <v>549</v>
      </c>
      <c r="F134" s="166" t="s">
        <v>550</v>
      </c>
      <c r="G134" s="21" t="s">
        <v>551</v>
      </c>
      <c r="H134" s="53"/>
      <c r="I134" s="71">
        <v>7</v>
      </c>
      <c r="J134" s="170" t="s">
        <v>43</v>
      </c>
      <c r="K134" s="75">
        <f t="shared" si="2"/>
        <v>7</v>
      </c>
      <c r="L134" s="77"/>
      <c r="M134" s="84"/>
    </row>
    <row r="135" ht="26" customHeight="1" spans="1:13">
      <c r="A135" s="46"/>
      <c r="B135" s="69"/>
      <c r="C135" s="92"/>
      <c r="D135" s="40"/>
      <c r="E135" s="52" t="s">
        <v>552</v>
      </c>
      <c r="F135" s="48" t="s">
        <v>552</v>
      </c>
      <c r="G135" s="21" t="s">
        <v>554</v>
      </c>
      <c r="H135" s="53" t="s">
        <v>555</v>
      </c>
      <c r="I135" s="71">
        <v>3</v>
      </c>
      <c r="J135" s="170" t="s">
        <v>43</v>
      </c>
      <c r="K135" s="75">
        <f t="shared" si="2"/>
        <v>3</v>
      </c>
      <c r="L135" s="77"/>
      <c r="M135" s="84"/>
    </row>
    <row r="136" ht="17.25" customHeight="1" spans="1:13">
      <c r="A136" s="46"/>
      <c r="B136" s="69"/>
      <c r="C136" s="126"/>
      <c r="D136" s="90"/>
      <c r="E136" s="52" t="s">
        <v>556</v>
      </c>
      <c r="F136" s="167" t="s">
        <v>557</v>
      </c>
      <c r="G136" s="21" t="s">
        <v>558</v>
      </c>
      <c r="H136" s="53"/>
      <c r="I136" s="71">
        <v>7</v>
      </c>
      <c r="J136" s="170" t="s">
        <v>43</v>
      </c>
      <c r="K136" s="75">
        <f t="shared" si="2"/>
        <v>7</v>
      </c>
      <c r="L136" s="79"/>
      <c r="M136" s="84"/>
    </row>
    <row r="137" ht="17.25" customHeight="1" spans="1:13">
      <c r="A137" s="46"/>
      <c r="B137" s="69"/>
      <c r="C137" s="38" t="s">
        <v>791</v>
      </c>
      <c r="D137" s="92"/>
      <c r="E137" s="52" t="s">
        <v>792</v>
      </c>
      <c r="F137" s="48" t="s">
        <v>560</v>
      </c>
      <c r="G137" s="21" t="s">
        <v>561</v>
      </c>
      <c r="H137" s="53"/>
      <c r="I137" s="71">
        <v>5</v>
      </c>
      <c r="J137" s="72" t="s">
        <v>43</v>
      </c>
      <c r="K137" s="67">
        <f t="shared" si="2"/>
        <v>5</v>
      </c>
      <c r="L137" s="78">
        <f>SUM(K137:K138)</f>
        <v>5</v>
      </c>
      <c r="M137" s="84"/>
    </row>
    <row r="138" ht="17.25" customHeight="1" spans="1:13">
      <c r="A138" s="46"/>
      <c r="B138" s="69"/>
      <c r="C138" s="90"/>
      <c r="D138" s="92"/>
      <c r="E138" s="52" t="s">
        <v>793</v>
      </c>
      <c r="F138" s="94"/>
      <c r="G138" s="95"/>
      <c r="H138" s="53" t="s">
        <v>564</v>
      </c>
      <c r="I138" s="71">
        <v>0</v>
      </c>
      <c r="J138" s="72" t="s">
        <v>43</v>
      </c>
      <c r="K138" s="67">
        <f t="shared" si="2"/>
        <v>0</v>
      </c>
      <c r="L138" s="79"/>
      <c r="M138" s="84"/>
    </row>
    <row r="139" ht="17.25" customHeight="1" spans="1:13">
      <c r="A139" s="46"/>
      <c r="B139" s="69"/>
      <c r="C139" s="93" t="s">
        <v>509</v>
      </c>
      <c r="D139" s="87"/>
      <c r="E139" s="15" t="s">
        <v>515</v>
      </c>
      <c r="F139" s="48" t="s">
        <v>516</v>
      </c>
      <c r="G139" s="59" t="s">
        <v>517</v>
      </c>
      <c r="H139" s="60"/>
      <c r="I139" s="81">
        <v>5</v>
      </c>
      <c r="J139" s="72" t="s">
        <v>43</v>
      </c>
      <c r="K139" s="75">
        <f t="shared" si="2"/>
        <v>5</v>
      </c>
      <c r="L139" s="78">
        <f>SUM(K139:K148)</f>
        <v>69</v>
      </c>
      <c r="M139" s="84"/>
    </row>
    <row r="140" ht="17.25" customHeight="1" spans="1:13">
      <c r="A140" s="46"/>
      <c r="B140" s="69"/>
      <c r="C140" s="92"/>
      <c r="D140" s="40"/>
      <c r="E140" s="15" t="s">
        <v>518</v>
      </c>
      <c r="F140" s="86" t="s">
        <v>516</v>
      </c>
      <c r="G140" s="59" t="s">
        <v>519</v>
      </c>
      <c r="H140" s="60"/>
      <c r="I140" s="81">
        <v>8</v>
      </c>
      <c r="J140" s="72" t="s">
        <v>43</v>
      </c>
      <c r="K140" s="75">
        <f t="shared" si="2"/>
        <v>8</v>
      </c>
      <c r="L140" s="77"/>
      <c r="M140" s="84"/>
    </row>
    <row r="141" ht="17.25" customHeight="1" spans="1:13">
      <c r="A141" s="46"/>
      <c r="B141" s="69"/>
      <c r="C141" s="92"/>
      <c r="D141" s="40"/>
      <c r="E141" s="15" t="s">
        <v>520</v>
      </c>
      <c r="F141" s="86" t="s">
        <v>521</v>
      </c>
      <c r="G141" s="59" t="s">
        <v>522</v>
      </c>
      <c r="H141" s="60"/>
      <c r="I141" s="81">
        <v>8</v>
      </c>
      <c r="J141" s="72" t="s">
        <v>43</v>
      </c>
      <c r="K141" s="75">
        <f t="shared" si="2"/>
        <v>8</v>
      </c>
      <c r="L141" s="77"/>
      <c r="M141" s="84"/>
    </row>
    <row r="142" ht="17.25" customHeight="1" spans="1:13">
      <c r="A142" s="46"/>
      <c r="B142" s="69"/>
      <c r="C142" s="92"/>
      <c r="D142" s="40"/>
      <c r="E142" s="15" t="s">
        <v>523</v>
      </c>
      <c r="F142" s="86" t="s">
        <v>524</v>
      </c>
      <c r="G142" s="59" t="s">
        <v>525</v>
      </c>
      <c r="H142" s="60" t="s">
        <v>526</v>
      </c>
      <c r="I142" s="81">
        <v>3</v>
      </c>
      <c r="J142" s="72" t="s">
        <v>43</v>
      </c>
      <c r="K142" s="75">
        <f t="shared" si="2"/>
        <v>3</v>
      </c>
      <c r="L142" s="77"/>
      <c r="M142" s="84"/>
    </row>
    <row r="143" ht="17.25" customHeight="1" spans="1:13">
      <c r="A143" s="46"/>
      <c r="B143" s="69"/>
      <c r="C143" s="92"/>
      <c r="D143" s="40"/>
      <c r="E143" s="15" t="s">
        <v>527</v>
      </c>
      <c r="F143" s="86" t="s">
        <v>528</v>
      </c>
      <c r="G143" s="59" t="s">
        <v>529</v>
      </c>
      <c r="H143" s="60"/>
      <c r="I143" s="81">
        <v>8</v>
      </c>
      <c r="J143" s="72" t="s">
        <v>43</v>
      </c>
      <c r="K143" s="75">
        <f t="shared" si="2"/>
        <v>8</v>
      </c>
      <c r="L143" s="77"/>
      <c r="M143" s="84"/>
    </row>
    <row r="144" ht="17.25" customHeight="1" spans="1:13">
      <c r="A144" s="46"/>
      <c r="B144" s="69"/>
      <c r="C144" s="92"/>
      <c r="D144" s="40"/>
      <c r="E144" s="15" t="s">
        <v>530</v>
      </c>
      <c r="F144" s="86" t="s">
        <v>531</v>
      </c>
      <c r="G144" s="59" t="s">
        <v>532</v>
      </c>
      <c r="H144" s="60"/>
      <c r="I144" s="81">
        <v>4</v>
      </c>
      <c r="J144" s="72" t="s">
        <v>43</v>
      </c>
      <c r="K144" s="75">
        <f t="shared" si="2"/>
        <v>4</v>
      </c>
      <c r="L144" s="77"/>
      <c r="M144" s="84"/>
    </row>
    <row r="145" ht="17.25" customHeight="1" spans="1:13">
      <c r="A145" s="46"/>
      <c r="B145" s="69"/>
      <c r="C145" s="92"/>
      <c r="D145" s="40"/>
      <c r="E145" s="15" t="s">
        <v>533</v>
      </c>
      <c r="F145" s="86" t="s">
        <v>534</v>
      </c>
      <c r="G145" s="59" t="s">
        <v>535</v>
      </c>
      <c r="H145" s="60"/>
      <c r="I145" s="81">
        <v>4</v>
      </c>
      <c r="J145" s="72" t="s">
        <v>43</v>
      </c>
      <c r="K145" s="75">
        <f t="shared" si="2"/>
        <v>4</v>
      </c>
      <c r="L145" s="77"/>
      <c r="M145" s="84"/>
    </row>
    <row r="146" ht="27.25" customHeight="1" spans="1:13">
      <c r="A146" s="46"/>
      <c r="B146" s="69"/>
      <c r="C146" s="92"/>
      <c r="D146" s="40"/>
      <c r="E146" s="16" t="s">
        <v>794</v>
      </c>
      <c r="F146" s="86" t="s">
        <v>795</v>
      </c>
      <c r="G146" s="59" t="s">
        <v>796</v>
      </c>
      <c r="H146" s="60" t="s">
        <v>797</v>
      </c>
      <c r="I146" s="81">
        <v>20</v>
      </c>
      <c r="J146" s="72" t="s">
        <v>43</v>
      </c>
      <c r="K146" s="75">
        <v>20</v>
      </c>
      <c r="L146" s="77"/>
      <c r="M146" s="84"/>
    </row>
    <row r="147" ht="17.25" customHeight="1" spans="1:13">
      <c r="A147" s="46"/>
      <c r="B147" s="69"/>
      <c r="C147" s="92"/>
      <c r="D147" s="40"/>
      <c r="E147" s="15" t="s">
        <v>536</v>
      </c>
      <c r="F147" s="86" t="s">
        <v>537</v>
      </c>
      <c r="G147" s="59" t="s">
        <v>538</v>
      </c>
      <c r="H147" s="60"/>
      <c r="I147" s="81">
        <v>4</v>
      </c>
      <c r="J147" s="72" t="s">
        <v>43</v>
      </c>
      <c r="K147" s="75">
        <f t="shared" ref="K147:K160" si="3">IF(J147&lt;&gt;0,I147,0)</f>
        <v>4</v>
      </c>
      <c r="L147" s="77"/>
      <c r="M147" s="84"/>
    </row>
    <row r="148" ht="17.25" customHeight="1" spans="1:13">
      <c r="A148" s="46"/>
      <c r="B148" s="69"/>
      <c r="C148" s="126"/>
      <c r="D148" s="90"/>
      <c r="E148" s="15" t="s">
        <v>539</v>
      </c>
      <c r="F148" s="86" t="s">
        <v>540</v>
      </c>
      <c r="G148" s="59" t="s">
        <v>541</v>
      </c>
      <c r="H148" s="60"/>
      <c r="I148" s="81">
        <v>5</v>
      </c>
      <c r="J148" s="72" t="s">
        <v>43</v>
      </c>
      <c r="K148" s="75">
        <f t="shared" si="3"/>
        <v>5</v>
      </c>
      <c r="L148" s="79"/>
      <c r="M148" s="84"/>
    </row>
    <row r="149" ht="17.25" customHeight="1" spans="1:13">
      <c r="A149" s="46"/>
      <c r="B149" s="69"/>
      <c r="C149" s="93" t="s">
        <v>500</v>
      </c>
      <c r="D149" s="87"/>
      <c r="E149" s="15" t="s">
        <v>501</v>
      </c>
      <c r="F149" s="48" t="s">
        <v>502</v>
      </c>
      <c r="G149" s="56" t="s">
        <v>503</v>
      </c>
      <c r="H149" s="57" t="s">
        <v>504</v>
      </c>
      <c r="I149" s="80">
        <v>5</v>
      </c>
      <c r="J149" s="72" t="s">
        <v>43</v>
      </c>
      <c r="K149" s="75">
        <f t="shared" si="3"/>
        <v>5</v>
      </c>
      <c r="L149" s="78">
        <f>SUM(K149:K150)</f>
        <v>10</v>
      </c>
      <c r="M149" s="84"/>
    </row>
    <row r="150" ht="17.25" customHeight="1" spans="1:13">
      <c r="A150" s="46"/>
      <c r="B150" s="69"/>
      <c r="C150" s="126"/>
      <c r="D150" s="90"/>
      <c r="E150" s="15" t="s">
        <v>505</v>
      </c>
      <c r="F150" s="86" t="s">
        <v>506</v>
      </c>
      <c r="G150" s="59" t="s">
        <v>507</v>
      </c>
      <c r="H150" s="60" t="s">
        <v>508</v>
      </c>
      <c r="I150" s="81">
        <v>5</v>
      </c>
      <c r="J150" s="72" t="s">
        <v>43</v>
      </c>
      <c r="K150" s="75">
        <f t="shared" si="3"/>
        <v>5</v>
      </c>
      <c r="L150" s="77"/>
      <c r="M150" s="84"/>
    </row>
    <row r="151" ht="17.25" customHeight="1" spans="1:13">
      <c r="A151" s="46"/>
      <c r="B151" s="69"/>
      <c r="C151" s="93" t="s">
        <v>802</v>
      </c>
      <c r="D151" s="87"/>
      <c r="E151" s="52" t="s">
        <v>582</v>
      </c>
      <c r="F151" s="48" t="s">
        <v>582</v>
      </c>
      <c r="G151" s="21" t="s">
        <v>803</v>
      </c>
      <c r="H151" s="53" t="s">
        <v>804</v>
      </c>
      <c r="I151" s="71">
        <v>8</v>
      </c>
      <c r="J151" s="72" t="s">
        <v>43</v>
      </c>
      <c r="K151" s="75">
        <f t="shared" si="3"/>
        <v>8</v>
      </c>
      <c r="L151" s="78">
        <f>SUM(K151:K152)</f>
        <v>11</v>
      </c>
      <c r="M151" s="84"/>
    </row>
    <row r="152" ht="17.25" customHeight="1" spans="1:13">
      <c r="A152" s="46"/>
      <c r="B152" s="69"/>
      <c r="C152" s="126"/>
      <c r="D152" s="90"/>
      <c r="E152" s="52" t="s">
        <v>585</v>
      </c>
      <c r="F152" s="48" t="s">
        <v>585</v>
      </c>
      <c r="G152" s="21" t="s">
        <v>805</v>
      </c>
      <c r="H152" s="95"/>
      <c r="I152" s="71">
        <v>3</v>
      </c>
      <c r="J152" s="72" t="s">
        <v>43</v>
      </c>
      <c r="K152" s="75">
        <f t="shared" si="3"/>
        <v>3</v>
      </c>
      <c r="L152" s="77"/>
      <c r="M152" s="84"/>
    </row>
    <row r="153" ht="17.25" customHeight="1" spans="1:13">
      <c r="A153" s="46"/>
      <c r="B153" s="69"/>
      <c r="C153" s="93" t="s">
        <v>38</v>
      </c>
      <c r="D153" s="38"/>
      <c r="E153" s="15" t="s">
        <v>39</v>
      </c>
      <c r="F153" s="48" t="s">
        <v>40</v>
      </c>
      <c r="G153" s="56" t="s">
        <v>41</v>
      </c>
      <c r="H153" s="57" t="s">
        <v>42</v>
      </c>
      <c r="I153" s="80">
        <v>8</v>
      </c>
      <c r="J153" s="72" t="s">
        <v>43</v>
      </c>
      <c r="K153" s="75">
        <f t="shared" si="3"/>
        <v>8</v>
      </c>
      <c r="L153" s="78">
        <f>SUM(K153:K159)</f>
        <v>33</v>
      </c>
      <c r="M153" s="84"/>
    </row>
    <row r="154" ht="17.25" customHeight="1" spans="1:13">
      <c r="A154" s="46"/>
      <c r="B154" s="69"/>
      <c r="C154" s="92"/>
      <c r="D154" s="40"/>
      <c r="E154" s="15" t="s">
        <v>44</v>
      </c>
      <c r="F154" s="86" t="s">
        <v>45</v>
      </c>
      <c r="G154" s="59" t="s">
        <v>46</v>
      </c>
      <c r="H154" s="60" t="s">
        <v>47</v>
      </c>
      <c r="I154" s="81">
        <v>8</v>
      </c>
      <c r="J154" s="72" t="s">
        <v>43</v>
      </c>
      <c r="K154" s="75">
        <f t="shared" si="3"/>
        <v>8</v>
      </c>
      <c r="L154" s="77"/>
      <c r="M154" s="84"/>
    </row>
    <row r="155" ht="17.25" customHeight="1" spans="1:13">
      <c r="A155" s="46"/>
      <c r="B155" s="69"/>
      <c r="C155" s="92"/>
      <c r="D155" s="40"/>
      <c r="E155" s="15" t="s">
        <v>48</v>
      </c>
      <c r="F155" s="86" t="s">
        <v>49</v>
      </c>
      <c r="G155" s="59" t="s">
        <v>50</v>
      </c>
      <c r="H155" s="60"/>
      <c r="I155" s="81">
        <v>5</v>
      </c>
      <c r="J155" s="72" t="s">
        <v>43</v>
      </c>
      <c r="K155" s="75">
        <f t="shared" si="3"/>
        <v>5</v>
      </c>
      <c r="L155" s="77"/>
      <c r="M155" s="84"/>
    </row>
    <row r="156" ht="17.25" customHeight="1" spans="1:13">
      <c r="A156" s="46"/>
      <c r="B156" s="69"/>
      <c r="C156" s="92"/>
      <c r="D156" s="40"/>
      <c r="E156" s="15" t="s">
        <v>51</v>
      </c>
      <c r="F156" s="86" t="s">
        <v>52</v>
      </c>
      <c r="G156" s="59" t="s">
        <v>53</v>
      </c>
      <c r="H156" s="60"/>
      <c r="I156" s="81">
        <v>3</v>
      </c>
      <c r="J156" s="72" t="s">
        <v>43</v>
      </c>
      <c r="K156" s="75">
        <f t="shared" si="3"/>
        <v>3</v>
      </c>
      <c r="L156" s="77"/>
      <c r="M156" s="84"/>
    </row>
    <row r="157" ht="17.25" customHeight="1" spans="1:13">
      <c r="A157" s="46"/>
      <c r="B157" s="69"/>
      <c r="C157" s="92"/>
      <c r="D157" s="40"/>
      <c r="E157" s="15" t="s">
        <v>54</v>
      </c>
      <c r="F157" s="86" t="s">
        <v>54</v>
      </c>
      <c r="G157" s="59" t="s">
        <v>56</v>
      </c>
      <c r="H157" s="60"/>
      <c r="I157" s="81">
        <v>5</v>
      </c>
      <c r="J157" s="72" t="s">
        <v>43</v>
      </c>
      <c r="K157" s="75">
        <f t="shared" si="3"/>
        <v>5</v>
      </c>
      <c r="L157" s="77"/>
      <c r="M157" s="84"/>
    </row>
    <row r="158" ht="17.25" customHeight="1" spans="1:13">
      <c r="A158" s="46"/>
      <c r="B158" s="69"/>
      <c r="C158" s="92"/>
      <c r="D158" s="40"/>
      <c r="E158" s="96" t="s">
        <v>61</v>
      </c>
      <c r="F158" s="48" t="s">
        <v>62</v>
      </c>
      <c r="G158" s="56" t="s">
        <v>63</v>
      </c>
      <c r="H158" s="57"/>
      <c r="I158" s="80">
        <v>2</v>
      </c>
      <c r="J158" s="72" t="s">
        <v>43</v>
      </c>
      <c r="K158" s="75">
        <f t="shared" si="3"/>
        <v>2</v>
      </c>
      <c r="L158" s="77"/>
      <c r="M158" s="84"/>
    </row>
    <row r="159" ht="27" customHeight="1" spans="1:13">
      <c r="A159" s="46"/>
      <c r="B159" s="69"/>
      <c r="C159" s="126"/>
      <c r="D159" s="40"/>
      <c r="E159" s="96" t="s">
        <v>849</v>
      </c>
      <c r="F159" s="48" t="s">
        <v>706</v>
      </c>
      <c r="G159" s="21" t="s">
        <v>707</v>
      </c>
      <c r="H159" s="53" t="s">
        <v>708</v>
      </c>
      <c r="I159" s="71">
        <v>2</v>
      </c>
      <c r="J159" s="72" t="s">
        <v>43</v>
      </c>
      <c r="K159" s="75">
        <f t="shared" si="3"/>
        <v>2</v>
      </c>
      <c r="L159" s="79"/>
      <c r="M159" s="84"/>
    </row>
    <row r="160" ht="17.25" customHeight="1" spans="1:13">
      <c r="A160" s="46"/>
      <c r="B160" s="69"/>
      <c r="C160" s="93" t="s">
        <v>64</v>
      </c>
      <c r="D160" s="87"/>
      <c r="E160" s="16" t="s">
        <v>608</v>
      </c>
      <c r="F160" s="67" t="s">
        <v>609</v>
      </c>
      <c r="G160" s="56" t="s">
        <v>610</v>
      </c>
      <c r="H160" s="57"/>
      <c r="I160" s="80">
        <v>2</v>
      </c>
      <c r="J160" s="72" t="s">
        <v>43</v>
      </c>
      <c r="K160" s="75">
        <f t="shared" si="3"/>
        <v>2</v>
      </c>
      <c r="L160" s="78">
        <f>SUM(K160:K172)</f>
        <v>28</v>
      </c>
      <c r="M160" s="84"/>
    </row>
    <row r="161" ht="17.25" customHeight="1" spans="1:13">
      <c r="A161" s="46"/>
      <c r="B161" s="69"/>
      <c r="C161" s="92"/>
      <c r="D161" s="40"/>
      <c r="E161" s="52" t="s">
        <v>614</v>
      </c>
      <c r="F161" s="48" t="s">
        <v>614</v>
      </c>
      <c r="G161" s="56" t="s">
        <v>615</v>
      </c>
      <c r="H161" s="57"/>
      <c r="I161" s="80">
        <v>2</v>
      </c>
      <c r="J161" s="72" t="s">
        <v>43</v>
      </c>
      <c r="K161" s="75">
        <f t="shared" ref="K161:K180" si="4">IF(J162&lt;&gt;0,I162,0)</f>
        <v>5</v>
      </c>
      <c r="L161" s="77"/>
      <c r="M161" s="84"/>
    </row>
    <row r="162" ht="17.25" customHeight="1" spans="1:13">
      <c r="A162" s="46"/>
      <c r="B162" s="69"/>
      <c r="C162" s="92"/>
      <c r="D162" s="40"/>
      <c r="E162" s="15" t="s">
        <v>395</v>
      </c>
      <c r="F162" s="86" t="s">
        <v>395</v>
      </c>
      <c r="G162" s="59" t="s">
        <v>617</v>
      </c>
      <c r="H162" s="60"/>
      <c r="I162" s="81">
        <v>5</v>
      </c>
      <c r="J162" s="72" t="s">
        <v>43</v>
      </c>
      <c r="K162" s="75">
        <f t="shared" si="4"/>
        <v>1</v>
      </c>
      <c r="L162" s="77"/>
      <c r="M162" s="84"/>
    </row>
    <row r="163" ht="17.25" customHeight="1" spans="1:13">
      <c r="A163" s="46"/>
      <c r="B163" s="69"/>
      <c r="C163" s="92"/>
      <c r="D163" s="40"/>
      <c r="E163" s="15" t="s">
        <v>65</v>
      </c>
      <c r="F163" s="48" t="s">
        <v>66</v>
      </c>
      <c r="G163" s="56" t="s">
        <v>67</v>
      </c>
      <c r="H163" s="57"/>
      <c r="I163" s="80">
        <v>1</v>
      </c>
      <c r="J163" s="72" t="s">
        <v>43</v>
      </c>
      <c r="K163" s="75">
        <f t="shared" si="4"/>
        <v>2</v>
      </c>
      <c r="L163" s="77"/>
      <c r="M163" s="84"/>
    </row>
    <row r="164" ht="17.25" customHeight="1" spans="1:13">
      <c r="A164" s="46"/>
      <c r="B164" s="69"/>
      <c r="C164" s="92"/>
      <c r="D164" s="40"/>
      <c r="E164" s="15" t="s">
        <v>68</v>
      </c>
      <c r="F164" s="86" t="s">
        <v>69</v>
      </c>
      <c r="G164" s="59" t="s">
        <v>70</v>
      </c>
      <c r="H164" s="60"/>
      <c r="I164" s="81">
        <v>2</v>
      </c>
      <c r="J164" s="72" t="s">
        <v>43</v>
      </c>
      <c r="K164" s="75">
        <f t="shared" si="4"/>
        <v>2</v>
      </c>
      <c r="L164" s="77"/>
      <c r="M164" s="84"/>
    </row>
    <row r="165" ht="21" customHeight="1" spans="1:13">
      <c r="A165" s="46"/>
      <c r="B165" s="69"/>
      <c r="C165" s="92"/>
      <c r="D165" s="40"/>
      <c r="E165" s="15" t="s">
        <v>799</v>
      </c>
      <c r="F165" s="86" t="s">
        <v>850</v>
      </c>
      <c r="G165" s="59" t="s">
        <v>851</v>
      </c>
      <c r="H165" s="60"/>
      <c r="I165" s="81">
        <v>2</v>
      </c>
      <c r="J165" s="72" t="s">
        <v>43</v>
      </c>
      <c r="K165" s="75">
        <f t="shared" si="4"/>
        <v>0</v>
      </c>
      <c r="L165" s="77"/>
      <c r="M165" s="84"/>
    </row>
    <row r="166" ht="17.25" customHeight="1" spans="1:13">
      <c r="A166" s="46"/>
      <c r="B166" s="69"/>
      <c r="C166" s="92"/>
      <c r="D166" s="40"/>
      <c r="E166" s="15" t="s">
        <v>77</v>
      </c>
      <c r="F166" s="48" t="s">
        <v>77</v>
      </c>
      <c r="G166" s="21"/>
      <c r="H166" s="53"/>
      <c r="I166" s="71">
        <v>0</v>
      </c>
      <c r="J166" s="72" t="s">
        <v>43</v>
      </c>
      <c r="K166" s="75">
        <f t="shared" si="4"/>
        <v>1</v>
      </c>
      <c r="L166" s="77"/>
      <c r="M166" s="84"/>
    </row>
    <row r="167" ht="17.25" customHeight="1" spans="1:13">
      <c r="A167" s="46"/>
      <c r="B167" s="69"/>
      <c r="C167" s="92"/>
      <c r="D167" s="40"/>
      <c r="E167" s="15" t="s">
        <v>71</v>
      </c>
      <c r="F167" s="48" t="s">
        <v>72</v>
      </c>
      <c r="G167" s="56" t="s">
        <v>73</v>
      </c>
      <c r="H167" s="57"/>
      <c r="I167" s="80">
        <v>1</v>
      </c>
      <c r="J167" s="72" t="s">
        <v>43</v>
      </c>
      <c r="K167" s="75">
        <f t="shared" si="4"/>
        <v>2</v>
      </c>
      <c r="L167" s="77"/>
      <c r="M167" s="84"/>
    </row>
    <row r="168" ht="17.25" customHeight="1" spans="1:13">
      <c r="A168" s="46"/>
      <c r="B168" s="69"/>
      <c r="C168" s="92"/>
      <c r="D168" s="40"/>
      <c r="E168" s="15" t="s">
        <v>58</v>
      </c>
      <c r="F168" s="48" t="s">
        <v>59</v>
      </c>
      <c r="G168" s="56" t="s">
        <v>60</v>
      </c>
      <c r="H168" s="57"/>
      <c r="I168" s="80">
        <v>2</v>
      </c>
      <c r="J168" s="72" t="s">
        <v>43</v>
      </c>
      <c r="K168" s="75">
        <f t="shared" si="4"/>
        <v>1</v>
      </c>
      <c r="L168" s="77"/>
      <c r="M168" s="84"/>
    </row>
    <row r="169" ht="17.25" customHeight="1" spans="1:13">
      <c r="A169" s="46"/>
      <c r="B169" s="69"/>
      <c r="C169" s="92"/>
      <c r="D169" s="40"/>
      <c r="E169" s="15" t="s">
        <v>74</v>
      </c>
      <c r="F169" s="48" t="s">
        <v>75</v>
      </c>
      <c r="G169" s="56" t="s">
        <v>76</v>
      </c>
      <c r="H169" s="57"/>
      <c r="I169" s="80">
        <v>1</v>
      </c>
      <c r="J169" s="72" t="s">
        <v>43</v>
      </c>
      <c r="K169" s="75">
        <f t="shared" si="4"/>
        <v>8</v>
      </c>
      <c r="L169" s="77"/>
      <c r="M169" s="84"/>
    </row>
    <row r="170" ht="17.25" customHeight="1" spans="1:13">
      <c r="A170" s="46"/>
      <c r="B170" s="69"/>
      <c r="C170" s="92"/>
      <c r="D170" s="40"/>
      <c r="E170" s="15" t="s">
        <v>88</v>
      </c>
      <c r="F170" s="48" t="s">
        <v>88</v>
      </c>
      <c r="G170" s="56" t="s">
        <v>89</v>
      </c>
      <c r="H170" s="57" t="s">
        <v>90</v>
      </c>
      <c r="I170" s="80">
        <v>8</v>
      </c>
      <c r="J170" s="72" t="s">
        <v>43</v>
      </c>
      <c r="K170" s="75">
        <f t="shared" si="4"/>
        <v>0</v>
      </c>
      <c r="L170" s="77"/>
      <c r="M170" s="84"/>
    </row>
    <row r="171" ht="17.25" customHeight="1" spans="1:13">
      <c r="A171" s="46"/>
      <c r="B171" s="69"/>
      <c r="C171" s="92"/>
      <c r="D171" s="40"/>
      <c r="E171" s="15" t="s">
        <v>801</v>
      </c>
      <c r="F171" s="48" t="s">
        <v>801</v>
      </c>
      <c r="G171" s="21"/>
      <c r="H171" s="53"/>
      <c r="I171" s="71">
        <v>0</v>
      </c>
      <c r="J171" s="72" t="s">
        <v>43</v>
      </c>
      <c r="K171" s="75">
        <f t="shared" si="4"/>
        <v>3</v>
      </c>
      <c r="L171" s="77"/>
      <c r="M171" s="84"/>
    </row>
    <row r="172" ht="17.25" customHeight="1" spans="1:13">
      <c r="A172" s="46"/>
      <c r="B172" s="69"/>
      <c r="C172" s="92"/>
      <c r="D172" s="40"/>
      <c r="E172" s="96" t="s">
        <v>450</v>
      </c>
      <c r="F172" s="48" t="s">
        <v>450</v>
      </c>
      <c r="G172" s="56" t="s">
        <v>451</v>
      </c>
      <c r="H172" s="57" t="s">
        <v>452</v>
      </c>
      <c r="I172" s="80">
        <v>3</v>
      </c>
      <c r="J172" s="72" t="s">
        <v>43</v>
      </c>
      <c r="K172" s="75">
        <f t="shared" si="4"/>
        <v>1</v>
      </c>
      <c r="L172" s="79"/>
      <c r="M172" s="84"/>
    </row>
    <row r="173" ht="17.25" customHeight="1" spans="1:13">
      <c r="A173" s="46"/>
      <c r="B173" s="161"/>
      <c r="C173" s="47" t="s">
        <v>641</v>
      </c>
      <c r="D173" s="93"/>
      <c r="E173" s="98" t="s">
        <v>641</v>
      </c>
      <c r="F173" s="48" t="s">
        <v>641</v>
      </c>
      <c r="G173" s="21" t="s">
        <v>806</v>
      </c>
      <c r="H173" s="53"/>
      <c r="I173" s="71">
        <v>1</v>
      </c>
      <c r="J173" s="72" t="s">
        <v>43</v>
      </c>
      <c r="K173" s="75">
        <f t="shared" si="4"/>
        <v>10</v>
      </c>
      <c r="L173" s="76">
        <f>SUM(K173:K176)</f>
        <v>22</v>
      </c>
      <c r="M173" s="84"/>
    </row>
    <row r="174" ht="34" customHeight="1" spans="1:13">
      <c r="A174" s="46"/>
      <c r="B174" s="161"/>
      <c r="C174" s="52"/>
      <c r="D174" s="92"/>
      <c r="E174" s="135" t="s">
        <v>645</v>
      </c>
      <c r="F174" s="48" t="s">
        <v>646</v>
      </c>
      <c r="G174" s="21" t="s">
        <v>647</v>
      </c>
      <c r="H174" s="53" t="s">
        <v>648</v>
      </c>
      <c r="I174" s="71">
        <v>10</v>
      </c>
      <c r="J174" s="72" t="s">
        <v>43</v>
      </c>
      <c r="K174" s="75">
        <f t="shared" si="4"/>
        <v>2</v>
      </c>
      <c r="L174" s="77"/>
      <c r="M174" s="84"/>
    </row>
    <row r="175" ht="17.25" customHeight="1" spans="1:13">
      <c r="A175" s="46"/>
      <c r="B175" s="161"/>
      <c r="C175" s="52"/>
      <c r="D175" s="92"/>
      <c r="E175" s="135" t="s">
        <v>649</v>
      </c>
      <c r="F175" s="48" t="s">
        <v>650</v>
      </c>
      <c r="G175" s="21" t="s">
        <v>651</v>
      </c>
      <c r="H175" s="53" t="s">
        <v>652</v>
      </c>
      <c r="I175" s="71">
        <v>2</v>
      </c>
      <c r="J175" s="72" t="s">
        <v>43</v>
      </c>
      <c r="K175" s="75">
        <f t="shared" si="4"/>
        <v>10</v>
      </c>
      <c r="L175" s="77"/>
      <c r="M175" s="84"/>
    </row>
    <row r="176" ht="17.25" customHeight="1" spans="1:13">
      <c r="A176" s="46"/>
      <c r="B176" s="161"/>
      <c r="C176" s="52"/>
      <c r="D176" s="92"/>
      <c r="E176" s="135" t="s">
        <v>653</v>
      </c>
      <c r="F176" s="48" t="s">
        <v>654</v>
      </c>
      <c r="G176" s="21" t="s">
        <v>655</v>
      </c>
      <c r="H176" s="53" t="s">
        <v>648</v>
      </c>
      <c r="I176" s="71">
        <v>10</v>
      </c>
      <c r="J176" s="72" t="s">
        <v>43</v>
      </c>
      <c r="K176" s="75">
        <f t="shared" si="4"/>
        <v>0</v>
      </c>
      <c r="L176" s="77"/>
      <c r="M176" s="84"/>
    </row>
    <row r="177" ht="17.25" customHeight="1" spans="1:13">
      <c r="A177" s="46"/>
      <c r="B177" s="69"/>
      <c r="C177" s="93" t="s">
        <v>611</v>
      </c>
      <c r="D177" s="87"/>
      <c r="E177" s="52" t="s">
        <v>807</v>
      </c>
      <c r="F177" s="48" t="s">
        <v>807</v>
      </c>
      <c r="G177" s="56"/>
      <c r="H177" s="57"/>
      <c r="I177" s="80">
        <v>0</v>
      </c>
      <c r="J177" s="72" t="s">
        <v>43</v>
      </c>
      <c r="K177" s="75">
        <f t="shared" si="4"/>
        <v>0</v>
      </c>
      <c r="L177" s="78">
        <f>SUM(K177:K180)</f>
        <v>10</v>
      </c>
      <c r="M177" s="84"/>
    </row>
    <row r="178" ht="17.25" customHeight="1" spans="1:13">
      <c r="A178" s="46"/>
      <c r="B178" s="69"/>
      <c r="C178" s="92"/>
      <c r="D178" s="40"/>
      <c r="E178" s="52" t="s">
        <v>808</v>
      </c>
      <c r="F178" s="48" t="s">
        <v>808</v>
      </c>
      <c r="G178" s="21"/>
      <c r="H178" s="53"/>
      <c r="I178" s="80">
        <v>0</v>
      </c>
      <c r="J178" s="72" t="s">
        <v>43</v>
      </c>
      <c r="K178" s="75">
        <f t="shared" si="4"/>
        <v>0</v>
      </c>
      <c r="L178" s="77"/>
      <c r="M178" s="84"/>
    </row>
    <row r="179" ht="17.25" customHeight="1" spans="1:13">
      <c r="A179" s="46"/>
      <c r="B179" s="69"/>
      <c r="C179" s="92"/>
      <c r="D179" s="40"/>
      <c r="E179" s="52" t="s">
        <v>809</v>
      </c>
      <c r="F179" s="48" t="s">
        <v>809</v>
      </c>
      <c r="G179" s="21"/>
      <c r="H179" s="53"/>
      <c r="I179" s="80">
        <v>0</v>
      </c>
      <c r="J179" s="72" t="s">
        <v>43</v>
      </c>
      <c r="K179" s="75">
        <f t="shared" si="4"/>
        <v>0</v>
      </c>
      <c r="L179" s="77"/>
      <c r="M179" s="84"/>
    </row>
    <row r="180" ht="17.25" customHeight="1" spans="1:13">
      <c r="A180" s="46"/>
      <c r="B180" s="69"/>
      <c r="C180" s="92"/>
      <c r="D180" s="40"/>
      <c r="E180" s="52" t="s">
        <v>810</v>
      </c>
      <c r="F180" s="48" t="s">
        <v>810</v>
      </c>
      <c r="G180" s="21"/>
      <c r="H180" s="53"/>
      <c r="I180" s="80">
        <v>0</v>
      </c>
      <c r="J180" s="72" t="s">
        <v>43</v>
      </c>
      <c r="K180" s="75">
        <f t="shared" si="4"/>
        <v>10</v>
      </c>
      <c r="L180" s="77"/>
      <c r="M180" s="84"/>
    </row>
    <row r="181" ht="17.25" customHeight="1" spans="1:13">
      <c r="A181" s="46"/>
      <c r="B181" s="164"/>
      <c r="C181" s="52" t="s">
        <v>811</v>
      </c>
      <c r="D181" s="48"/>
      <c r="E181" s="52" t="s">
        <v>811</v>
      </c>
      <c r="F181" s="48" t="s">
        <v>588</v>
      </c>
      <c r="G181" s="56" t="s">
        <v>589</v>
      </c>
      <c r="H181" s="57"/>
      <c r="I181" s="80">
        <v>10</v>
      </c>
      <c r="J181" s="72" t="s">
        <v>43</v>
      </c>
      <c r="K181" s="73">
        <v>10</v>
      </c>
      <c r="L181" s="75">
        <f>SUM(K181:K181)</f>
        <v>10</v>
      </c>
      <c r="M181" s="84"/>
    </row>
    <row r="182" ht="17.25" customHeight="1" spans="1:13">
      <c r="A182" s="46"/>
      <c r="B182" s="37" t="s">
        <v>671</v>
      </c>
      <c r="C182" s="91" t="s">
        <v>671</v>
      </c>
      <c r="D182" s="91"/>
      <c r="E182" s="90" t="s">
        <v>672</v>
      </c>
      <c r="F182" s="48" t="s">
        <v>673</v>
      </c>
      <c r="G182" s="21" t="s">
        <v>674</v>
      </c>
      <c r="H182" s="53" t="s">
        <v>675</v>
      </c>
      <c r="I182" s="71">
        <v>6</v>
      </c>
      <c r="J182" s="72" t="s">
        <v>43</v>
      </c>
      <c r="K182" s="75">
        <f t="shared" ref="K182:K197" si="5">IF(J182&lt;&gt;0,I182,0)</f>
        <v>6</v>
      </c>
      <c r="L182" s="132">
        <f>SUM(K182:K193)</f>
        <v>62</v>
      </c>
      <c r="M182" s="84"/>
    </row>
    <row r="183" ht="17.25" customHeight="1" spans="1:13">
      <c r="A183" s="46"/>
      <c r="B183" s="69"/>
      <c r="C183" s="85"/>
      <c r="D183" s="40"/>
      <c r="E183" s="90" t="s">
        <v>709</v>
      </c>
      <c r="F183" s="48" t="s">
        <v>710</v>
      </c>
      <c r="G183" s="21" t="s">
        <v>711</v>
      </c>
      <c r="H183" s="53" t="s">
        <v>712</v>
      </c>
      <c r="I183" s="71">
        <v>9</v>
      </c>
      <c r="J183" s="72" t="s">
        <v>43</v>
      </c>
      <c r="K183" s="75">
        <f t="shared" si="5"/>
        <v>9</v>
      </c>
      <c r="L183" s="67"/>
      <c r="M183" s="84"/>
    </row>
    <row r="184" ht="17.25" customHeight="1" spans="1:13">
      <c r="A184" s="46"/>
      <c r="B184" s="69"/>
      <c r="C184" s="85"/>
      <c r="D184" s="40"/>
      <c r="E184" s="90" t="s">
        <v>713</v>
      </c>
      <c r="F184" s="48" t="s">
        <v>714</v>
      </c>
      <c r="G184" s="21" t="s">
        <v>715</v>
      </c>
      <c r="H184" s="53" t="s">
        <v>716</v>
      </c>
      <c r="I184" s="71">
        <v>3</v>
      </c>
      <c r="J184" s="72" t="s">
        <v>43</v>
      </c>
      <c r="K184" s="75">
        <f t="shared" si="5"/>
        <v>3</v>
      </c>
      <c r="L184" s="67"/>
      <c r="M184" s="84"/>
    </row>
    <row r="185" ht="17.25" customHeight="1" spans="1:13">
      <c r="A185" s="46"/>
      <c r="B185" s="69"/>
      <c r="C185" s="85"/>
      <c r="D185" s="40"/>
      <c r="E185" s="90" t="s">
        <v>676</v>
      </c>
      <c r="F185" s="48" t="s">
        <v>677</v>
      </c>
      <c r="G185" s="21" t="s">
        <v>678</v>
      </c>
      <c r="H185" s="53" t="s">
        <v>679</v>
      </c>
      <c r="I185" s="71">
        <v>5</v>
      </c>
      <c r="J185" s="72" t="s">
        <v>43</v>
      </c>
      <c r="K185" s="75">
        <f t="shared" si="5"/>
        <v>5</v>
      </c>
      <c r="L185" s="67"/>
      <c r="M185" s="84"/>
    </row>
    <row r="186" ht="17.25" customHeight="1" spans="1:13">
      <c r="A186" s="46"/>
      <c r="B186" s="69"/>
      <c r="C186" s="85"/>
      <c r="D186" s="40"/>
      <c r="E186" s="90" t="s">
        <v>842</v>
      </c>
      <c r="F186" s="48" t="s">
        <v>843</v>
      </c>
      <c r="G186" s="21" t="s">
        <v>844</v>
      </c>
      <c r="H186" s="53" t="s">
        <v>845</v>
      </c>
      <c r="I186" s="71">
        <v>10</v>
      </c>
      <c r="J186" s="72" t="s">
        <v>43</v>
      </c>
      <c r="K186" s="75">
        <f t="shared" si="5"/>
        <v>10</v>
      </c>
      <c r="L186" s="67"/>
      <c r="M186" s="84"/>
    </row>
    <row r="187" ht="17.25" customHeight="1" spans="1:13">
      <c r="A187" s="46"/>
      <c r="B187" s="69"/>
      <c r="C187" s="85"/>
      <c r="D187" s="40"/>
      <c r="E187" s="90" t="s">
        <v>680</v>
      </c>
      <c r="F187" s="48" t="s">
        <v>681</v>
      </c>
      <c r="G187" s="21" t="s">
        <v>682</v>
      </c>
      <c r="H187" s="53" t="s">
        <v>683</v>
      </c>
      <c r="I187" s="71">
        <v>5</v>
      </c>
      <c r="J187" s="72" t="s">
        <v>43</v>
      </c>
      <c r="K187" s="75">
        <f t="shared" si="5"/>
        <v>5</v>
      </c>
      <c r="L187" s="67"/>
      <c r="M187" s="84"/>
    </row>
    <row r="188" ht="17.25" customHeight="1" spans="1:13">
      <c r="A188" s="46"/>
      <c r="B188" s="69"/>
      <c r="C188" s="85"/>
      <c r="D188" s="40"/>
      <c r="E188" s="90" t="s">
        <v>684</v>
      </c>
      <c r="F188" s="48"/>
      <c r="G188" s="21" t="s">
        <v>685</v>
      </c>
      <c r="H188" s="53" t="s">
        <v>686</v>
      </c>
      <c r="I188" s="71">
        <v>6</v>
      </c>
      <c r="J188" s="72" t="s">
        <v>43</v>
      </c>
      <c r="K188" s="75">
        <f t="shared" si="5"/>
        <v>6</v>
      </c>
      <c r="L188" s="67"/>
      <c r="M188" s="84"/>
    </row>
    <row r="189" ht="17.25" customHeight="1" spans="1:13">
      <c r="A189" s="46"/>
      <c r="B189" s="69"/>
      <c r="C189" s="85"/>
      <c r="D189" s="40"/>
      <c r="E189" s="90" t="s">
        <v>687</v>
      </c>
      <c r="F189" s="48" t="s">
        <v>688</v>
      </c>
      <c r="G189" s="21" t="s">
        <v>689</v>
      </c>
      <c r="H189" s="53" t="s">
        <v>690</v>
      </c>
      <c r="I189" s="71">
        <v>3</v>
      </c>
      <c r="J189" s="72" t="s">
        <v>43</v>
      </c>
      <c r="K189" s="75">
        <f t="shared" si="5"/>
        <v>3</v>
      </c>
      <c r="L189" s="67"/>
      <c r="M189" s="84"/>
    </row>
    <row r="190" ht="17.25" customHeight="1" spans="1:13">
      <c r="A190" s="46"/>
      <c r="B190" s="69"/>
      <c r="C190" s="85"/>
      <c r="D190" s="40"/>
      <c r="E190" s="90" t="s">
        <v>691</v>
      </c>
      <c r="F190" s="48" t="s">
        <v>688</v>
      </c>
      <c r="G190" s="21" t="s">
        <v>692</v>
      </c>
      <c r="H190" s="53" t="s">
        <v>693</v>
      </c>
      <c r="I190" s="71">
        <v>4</v>
      </c>
      <c r="J190" s="72" t="s">
        <v>43</v>
      </c>
      <c r="K190" s="75">
        <f t="shared" si="5"/>
        <v>4</v>
      </c>
      <c r="L190" s="67"/>
      <c r="M190" s="84"/>
    </row>
    <row r="191" ht="17.25" customHeight="1" spans="1:13">
      <c r="A191" s="46"/>
      <c r="B191" s="69"/>
      <c r="C191" s="85"/>
      <c r="D191" s="40"/>
      <c r="E191" s="90" t="s">
        <v>694</v>
      </c>
      <c r="F191" s="48" t="s">
        <v>695</v>
      </c>
      <c r="G191" s="21" t="s">
        <v>692</v>
      </c>
      <c r="H191" s="53" t="s">
        <v>696</v>
      </c>
      <c r="I191" s="71">
        <v>3</v>
      </c>
      <c r="J191" s="72" t="s">
        <v>43</v>
      </c>
      <c r="K191" s="75">
        <f t="shared" si="5"/>
        <v>3</v>
      </c>
      <c r="L191" s="67"/>
      <c r="M191" s="84"/>
    </row>
    <row r="192" ht="17.25" customHeight="1" spans="1:13">
      <c r="A192" s="46"/>
      <c r="B192" s="69"/>
      <c r="C192" s="85"/>
      <c r="D192" s="40"/>
      <c r="E192" s="90" t="s">
        <v>697</v>
      </c>
      <c r="F192" s="48" t="s">
        <v>698</v>
      </c>
      <c r="G192" s="21" t="s">
        <v>699</v>
      </c>
      <c r="H192" s="168" t="s">
        <v>700</v>
      </c>
      <c r="I192" s="112"/>
      <c r="J192" s="72" t="s">
        <v>43</v>
      </c>
      <c r="K192" s="75">
        <f t="shared" si="5"/>
        <v>0</v>
      </c>
      <c r="L192" s="67"/>
      <c r="M192" s="84"/>
    </row>
    <row r="193" ht="17.25" customHeight="1" spans="1:13">
      <c r="A193" s="46"/>
      <c r="B193" s="70"/>
      <c r="C193" s="86"/>
      <c r="D193" s="90"/>
      <c r="E193" s="90" t="s">
        <v>701</v>
      </c>
      <c r="F193" s="48" t="s">
        <v>702</v>
      </c>
      <c r="G193" s="21" t="s">
        <v>703</v>
      </c>
      <c r="H193" s="53" t="s">
        <v>704</v>
      </c>
      <c r="I193" s="71">
        <v>8</v>
      </c>
      <c r="J193" s="72" t="s">
        <v>43</v>
      </c>
      <c r="K193" s="75">
        <f t="shared" si="5"/>
        <v>8</v>
      </c>
      <c r="L193" s="67"/>
      <c r="M193" s="84"/>
    </row>
    <row r="194" ht="17.25" customHeight="1" spans="1:13">
      <c r="A194" s="46"/>
      <c r="B194" s="171" t="s">
        <v>662</v>
      </c>
      <c r="C194" s="90" t="s">
        <v>663</v>
      </c>
      <c r="D194" s="86"/>
      <c r="E194" s="90" t="s">
        <v>663</v>
      </c>
      <c r="F194" s="86" t="s">
        <v>663</v>
      </c>
      <c r="G194" s="56" t="s">
        <v>664</v>
      </c>
      <c r="H194" s="57" t="s">
        <v>665</v>
      </c>
      <c r="I194" s="80">
        <v>3</v>
      </c>
      <c r="J194" s="72" t="s">
        <v>43</v>
      </c>
      <c r="K194" s="75">
        <f t="shared" si="5"/>
        <v>3</v>
      </c>
      <c r="L194" s="75">
        <f>SUM(K194:K194)</f>
        <v>3</v>
      </c>
      <c r="M194" s="84"/>
    </row>
    <row r="195" ht="17.25" customHeight="1" spans="1:13">
      <c r="A195" s="46"/>
      <c r="B195" s="100"/>
      <c r="C195" s="52" t="s">
        <v>666</v>
      </c>
      <c r="D195" s="86"/>
      <c r="E195" s="90" t="s">
        <v>666</v>
      </c>
      <c r="F195" s="86" t="s">
        <v>666</v>
      </c>
      <c r="G195" s="59" t="s">
        <v>667</v>
      </c>
      <c r="H195" s="60" t="s">
        <v>668</v>
      </c>
      <c r="I195" s="81">
        <v>3</v>
      </c>
      <c r="J195" s="72" t="s">
        <v>43</v>
      </c>
      <c r="K195" s="75">
        <f t="shared" si="5"/>
        <v>3</v>
      </c>
      <c r="L195" s="75">
        <f>SUM(K195:K195)</f>
        <v>3</v>
      </c>
      <c r="M195" s="84"/>
    </row>
    <row r="196" ht="17.25" customHeight="1" spans="1:13">
      <c r="A196" s="46"/>
      <c r="B196" s="100"/>
      <c r="C196" s="52" t="s">
        <v>669</v>
      </c>
      <c r="D196" s="86"/>
      <c r="E196" s="90" t="s">
        <v>669</v>
      </c>
      <c r="F196" s="86" t="s">
        <v>669</v>
      </c>
      <c r="G196" s="59" t="s">
        <v>670</v>
      </c>
      <c r="H196" s="60"/>
      <c r="I196" s="81">
        <v>2</v>
      </c>
      <c r="J196" s="72" t="s">
        <v>43</v>
      </c>
      <c r="K196" s="75">
        <f t="shared" si="5"/>
        <v>2</v>
      </c>
      <c r="L196" s="75">
        <f>SUM(K196:K196)</f>
        <v>2</v>
      </c>
      <c r="M196" s="84"/>
    </row>
    <row r="197" ht="17.25" customHeight="1" spans="1:13">
      <c r="A197" s="46"/>
      <c r="B197" s="100" t="s">
        <v>717</v>
      </c>
      <c r="C197" s="52" t="s">
        <v>718</v>
      </c>
      <c r="D197" s="86"/>
      <c r="E197" s="90" t="s">
        <v>719</v>
      </c>
      <c r="F197" s="86" t="s">
        <v>719</v>
      </c>
      <c r="G197" s="59" t="s">
        <v>720</v>
      </c>
      <c r="H197" s="60" t="s">
        <v>721</v>
      </c>
      <c r="I197" s="81">
        <v>5</v>
      </c>
      <c r="J197" s="72" t="s">
        <v>43</v>
      </c>
      <c r="K197" s="75">
        <f t="shared" si="5"/>
        <v>5</v>
      </c>
      <c r="L197" s="75">
        <f>SUM(K197:K197)</f>
        <v>5</v>
      </c>
      <c r="M197" s="84"/>
    </row>
    <row r="198" ht="17.25" customHeight="1" spans="1:13">
      <c r="A198" s="46"/>
      <c r="B198" s="103" t="s">
        <v>722</v>
      </c>
      <c r="C198" s="103"/>
      <c r="D198" s="103"/>
      <c r="E198" s="103"/>
      <c r="F198" s="105"/>
      <c r="G198" s="172"/>
      <c r="H198" s="173"/>
      <c r="I198" s="113"/>
      <c r="J198" s="103"/>
      <c r="K198" s="114"/>
      <c r="L198" s="115">
        <f>SUM(K3:K197)</f>
        <v>921</v>
      </c>
      <c r="M198" s="84"/>
    </row>
    <row r="199" ht="17.25" customHeight="1" spans="1:13">
      <c r="A199" s="46"/>
      <c r="B199" s="16" t="s">
        <v>723</v>
      </c>
      <c r="C199" s="16" t="s">
        <v>724</v>
      </c>
      <c r="D199" s="16"/>
      <c r="E199" s="16"/>
      <c r="F199" s="107">
        <v>50</v>
      </c>
      <c r="G199" s="21" t="s">
        <v>725</v>
      </c>
      <c r="H199" s="174">
        <f>IF(F199&lt;=50,0,IF(F199&lt;71,INT((L198*0.05+0.99)),IF(F199&lt;91,INT((L198*0.1+0.99)),IF(F199&lt;131,INT((L198*0.15+0.99)),IF(F199&lt;1001,INT((L198*0.25+0.99)))))))</f>
        <v>0</v>
      </c>
      <c r="I199" s="112"/>
      <c r="J199" s="72" t="s">
        <v>43</v>
      </c>
      <c r="K199" s="116"/>
      <c r="L199" s="75">
        <f>H199</f>
        <v>0</v>
      </c>
      <c r="M199" s="84"/>
    </row>
    <row r="200" ht="17.25" customHeight="1" spans="1:13">
      <c r="A200" s="46"/>
      <c r="B200" s="103" t="s">
        <v>722</v>
      </c>
      <c r="C200" s="103"/>
      <c r="D200" s="103"/>
      <c r="E200" s="103"/>
      <c r="F200" s="105"/>
      <c r="G200" s="172"/>
      <c r="H200" s="173"/>
      <c r="I200" s="113"/>
      <c r="J200" s="103"/>
      <c r="K200" s="114"/>
      <c r="L200" s="115">
        <f>L198+L199</f>
        <v>921</v>
      </c>
      <c r="M200" s="84"/>
    </row>
    <row r="201" ht="17.25" customHeight="1" spans="1:13">
      <c r="A201" s="46"/>
      <c r="B201" s="16"/>
      <c r="C201" s="16" t="s">
        <v>444</v>
      </c>
      <c r="D201" s="16"/>
      <c r="E201" s="16"/>
      <c r="F201" s="48" t="s">
        <v>726</v>
      </c>
      <c r="G201" s="21" t="s">
        <v>727</v>
      </c>
      <c r="H201" s="53" t="s">
        <v>728</v>
      </c>
      <c r="I201" s="117">
        <v>0</v>
      </c>
      <c r="J201" s="72" t="s">
        <v>43</v>
      </c>
      <c r="K201" s="116"/>
      <c r="L201" s="75">
        <f>L200*I201</f>
        <v>0</v>
      </c>
      <c r="M201" s="84"/>
    </row>
    <row r="202" ht="17.25" customHeight="1" spans="1:13">
      <c r="A202" s="46"/>
      <c r="B202" s="103" t="s">
        <v>722</v>
      </c>
      <c r="C202" s="103"/>
      <c r="D202" s="103"/>
      <c r="E202" s="103"/>
      <c r="F202" s="105"/>
      <c r="G202" s="172"/>
      <c r="H202" s="173"/>
      <c r="I202" s="113"/>
      <c r="J202" s="103"/>
      <c r="K202" s="114"/>
      <c r="L202" s="115">
        <f>L200+L201</f>
        <v>921</v>
      </c>
      <c r="M202" s="84"/>
    </row>
    <row r="203" ht="17.25" customHeight="1" spans="1:13">
      <c r="A203" s="46"/>
      <c r="B203" s="15"/>
      <c r="C203" s="16" t="s">
        <v>729</v>
      </c>
      <c r="D203" s="16"/>
      <c r="E203" s="16"/>
      <c r="F203" s="48" t="s">
        <v>730</v>
      </c>
      <c r="G203" s="21" t="s">
        <v>731</v>
      </c>
      <c r="H203" s="53" t="s">
        <v>732</v>
      </c>
      <c r="I203" s="117">
        <v>0.1</v>
      </c>
      <c r="J203" s="72" t="s">
        <v>43</v>
      </c>
      <c r="K203" s="118">
        <v>0</v>
      </c>
      <c r="L203" s="75">
        <f>L202*K203*I203</f>
        <v>0</v>
      </c>
      <c r="M203" s="84"/>
    </row>
    <row r="204" ht="17.25" customHeight="1" spans="1:13">
      <c r="A204" s="46"/>
      <c r="B204" s="103" t="s">
        <v>733</v>
      </c>
      <c r="C204" s="103"/>
      <c r="D204" s="103"/>
      <c r="E204" s="103"/>
      <c r="F204" s="105"/>
      <c r="G204" s="172"/>
      <c r="H204" s="173"/>
      <c r="I204" s="113"/>
      <c r="J204" s="103"/>
      <c r="K204" s="114"/>
      <c r="L204" s="115">
        <f>SUM(L202:L203)</f>
        <v>921</v>
      </c>
      <c r="M204" s="84"/>
    </row>
    <row r="205" ht="17.25" customHeight="1" spans="1:12">
      <c r="A205" s="104"/>
      <c r="B205" s="104"/>
      <c r="C205" s="104"/>
      <c r="D205" s="104"/>
      <c r="E205" s="104"/>
      <c r="F205" s="108"/>
      <c r="G205" s="175"/>
      <c r="H205" s="176"/>
      <c r="I205" s="119"/>
      <c r="J205" s="120"/>
      <c r="K205" s="119"/>
      <c r="L205" s="119"/>
    </row>
    <row r="206" s="1" customFormat="1" ht="17.25" customHeight="1" spans="6:12">
      <c r="F206" s="29"/>
      <c r="H206" s="177"/>
      <c r="I206" s="121"/>
      <c r="K206" s="122"/>
      <c r="L206" s="30"/>
    </row>
    <row r="207" s="1" customFormat="1" ht="17.25" customHeight="1" spans="6:12">
      <c r="F207" s="110"/>
      <c r="H207" s="30"/>
      <c r="I207" s="121"/>
      <c r="K207" s="122"/>
      <c r="L207" s="30"/>
    </row>
    <row r="208" s="1" customFormat="1" ht="17.25" customHeight="1" spans="6:12">
      <c r="F208" s="111"/>
      <c r="H208" s="30"/>
      <c r="I208" s="121"/>
      <c r="K208" s="122"/>
      <c r="L208" s="30"/>
    </row>
  </sheetData>
  <mergeCells count="70">
    <mergeCell ref="B1:L1"/>
    <mergeCell ref="B198:K198"/>
    <mergeCell ref="B200:K200"/>
    <mergeCell ref="B202:K202"/>
    <mergeCell ref="B204:K204"/>
    <mergeCell ref="B3:B37"/>
    <mergeCell ref="B38:B64"/>
    <mergeCell ref="B65:B86"/>
    <mergeCell ref="B87:B94"/>
    <mergeCell ref="B95:B96"/>
    <mergeCell ref="B97:B181"/>
    <mergeCell ref="B182:B193"/>
    <mergeCell ref="B194:B196"/>
    <mergeCell ref="C3:C37"/>
    <mergeCell ref="C63:C64"/>
    <mergeCell ref="C74:C78"/>
    <mergeCell ref="C79:C82"/>
    <mergeCell ref="C83:C86"/>
    <mergeCell ref="C87:C93"/>
    <mergeCell ref="C97:C106"/>
    <mergeCell ref="C107:C131"/>
    <mergeCell ref="C132:C136"/>
    <mergeCell ref="C137:C138"/>
    <mergeCell ref="C139:C148"/>
    <mergeCell ref="C149:C150"/>
    <mergeCell ref="C151:C152"/>
    <mergeCell ref="C153:C159"/>
    <mergeCell ref="C160:C172"/>
    <mergeCell ref="C173:C176"/>
    <mergeCell ref="C177:C180"/>
    <mergeCell ref="C182:C193"/>
    <mergeCell ref="D3:D6"/>
    <mergeCell ref="D7:D22"/>
    <mergeCell ref="D23:D37"/>
    <mergeCell ref="D74:D78"/>
    <mergeCell ref="D79:D82"/>
    <mergeCell ref="D83:D86"/>
    <mergeCell ref="D87:D93"/>
    <mergeCell ref="D107:D131"/>
    <mergeCell ref="D132:D136"/>
    <mergeCell ref="D153:D159"/>
    <mergeCell ref="D173:D176"/>
    <mergeCell ref="D182:D193"/>
    <mergeCell ref="E9:E11"/>
    <mergeCell ref="E23:E25"/>
    <mergeCell ref="E26:E30"/>
    <mergeCell ref="E31:E34"/>
    <mergeCell ref="E74:E78"/>
    <mergeCell ref="E79:E82"/>
    <mergeCell ref="E83:E86"/>
    <mergeCell ref="E87:E93"/>
    <mergeCell ref="L3:L6"/>
    <mergeCell ref="L7:L22"/>
    <mergeCell ref="L23:L37"/>
    <mergeCell ref="L38:L64"/>
    <mergeCell ref="L65:L86"/>
    <mergeCell ref="L87:L94"/>
    <mergeCell ref="L95:L96"/>
    <mergeCell ref="L97:L106"/>
    <mergeCell ref="L107:L131"/>
    <mergeCell ref="L132:L136"/>
    <mergeCell ref="L137:L138"/>
    <mergeCell ref="L139:L148"/>
    <mergeCell ref="L149:L150"/>
    <mergeCell ref="L151:L152"/>
    <mergeCell ref="L153:L159"/>
    <mergeCell ref="L160:L172"/>
    <mergeCell ref="L173:L176"/>
    <mergeCell ref="L177:L180"/>
    <mergeCell ref="L182:L19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L224"/>
  <sheetViews>
    <sheetView zoomScale="82" zoomScaleNormal="82" workbookViewId="0">
      <pane ySplit="2" topLeftCell="A3" activePane="bottomLeft" state="frozen"/>
      <selection/>
      <selection pane="bottomLeft" activeCell="G10" sqref="G10"/>
    </sheetView>
  </sheetViews>
  <sheetFormatPr defaultColWidth="9" defaultRowHeight="16.8"/>
  <cols>
    <col min="1" max="1" width="1.86538461538462" style="1" customWidth="1"/>
    <col min="2" max="2" width="11.4326923076923" style="1" customWidth="1"/>
    <col min="3" max="3" width="22.2884615384615" style="1" customWidth="1"/>
    <col min="4" max="4" width="16.5769230769231" style="1" customWidth="1"/>
    <col min="5" max="5" width="20.4326923076923" style="1" customWidth="1"/>
    <col min="6" max="6" width="21.7211538461538" style="29" customWidth="1"/>
    <col min="7" max="7" width="46.0096153846154" style="1" customWidth="1"/>
    <col min="8" max="8" width="43.5769230769231" style="30" customWidth="1"/>
    <col min="9" max="9" width="11.1442307692308" style="121" customWidth="1"/>
    <col min="10" max="10" width="9.86538461538461" style="1" customWidth="1"/>
    <col min="11" max="11" width="7.43269230769231" style="122" customWidth="1"/>
    <col min="12" max="12" width="14.7211538461538" style="30" customWidth="1"/>
  </cols>
  <sheetData>
    <row r="1" s="1" customFormat="1" ht="17.25" customHeight="1" spans="1:12">
      <c r="A1" s="123"/>
      <c r="B1" s="50"/>
      <c r="C1" s="50"/>
      <c r="D1" s="50"/>
      <c r="E1" s="50"/>
      <c r="F1" s="49"/>
      <c r="G1" s="50"/>
      <c r="H1" s="49"/>
      <c r="I1" s="129"/>
      <c r="J1" s="50"/>
      <c r="K1" s="130"/>
      <c r="L1" s="49"/>
    </row>
    <row r="2" s="1" customFormat="1" ht="17.25" customHeight="1" spans="1:12">
      <c r="A2" s="36"/>
      <c r="B2" s="4" t="s">
        <v>28</v>
      </c>
      <c r="C2" s="4" t="s">
        <v>29</v>
      </c>
      <c r="D2" s="4" t="s">
        <v>734</v>
      </c>
      <c r="E2" s="4" t="s">
        <v>735</v>
      </c>
      <c r="F2" s="51" t="s">
        <v>30</v>
      </c>
      <c r="G2" s="4" t="s">
        <v>31</v>
      </c>
      <c r="H2" s="51" t="s">
        <v>32</v>
      </c>
      <c r="I2" s="64" t="s">
        <v>33</v>
      </c>
      <c r="J2" s="4" t="s">
        <v>34</v>
      </c>
      <c r="K2" s="65" t="s">
        <v>35</v>
      </c>
      <c r="L2" s="51" t="s">
        <v>36</v>
      </c>
    </row>
    <row r="3" s="1" customFormat="1" ht="25" customHeight="1" spans="1:12">
      <c r="A3" s="36"/>
      <c r="B3" s="37" t="s">
        <v>736</v>
      </c>
      <c r="C3" s="93" t="s">
        <v>852</v>
      </c>
      <c r="D3" s="38" t="s">
        <v>738</v>
      </c>
      <c r="E3" s="52" t="s">
        <v>739</v>
      </c>
      <c r="F3" s="48" t="s">
        <v>739</v>
      </c>
      <c r="G3" s="21"/>
      <c r="H3" s="53"/>
      <c r="I3" s="48">
        <v>0</v>
      </c>
      <c r="J3" s="66" t="s">
        <v>43</v>
      </c>
      <c r="K3" s="67">
        <f t="shared" ref="K3:K66" si="0">IF(J3&lt;&gt;0,I3,0)</f>
        <v>0</v>
      </c>
      <c r="L3" s="68">
        <f>SUM(K3:K6)</f>
        <v>0</v>
      </c>
    </row>
    <row r="4" s="1" customFormat="1" ht="25" customHeight="1" spans="1:12">
      <c r="A4" s="36"/>
      <c r="B4" s="39"/>
      <c r="C4" s="92"/>
      <c r="D4" s="40"/>
      <c r="E4" s="52" t="s">
        <v>596</v>
      </c>
      <c r="F4" s="48" t="s">
        <v>596</v>
      </c>
      <c r="G4" s="21"/>
      <c r="H4" s="53"/>
      <c r="I4" s="48">
        <v>0</v>
      </c>
      <c r="J4" s="66" t="s">
        <v>43</v>
      </c>
      <c r="K4" s="67">
        <f t="shared" si="0"/>
        <v>0</v>
      </c>
      <c r="L4" s="69"/>
    </row>
    <row r="5" s="1" customFormat="1" ht="25" customHeight="1" spans="1:12">
      <c r="A5" s="36"/>
      <c r="B5" s="39"/>
      <c r="C5" s="92"/>
      <c r="D5" s="40"/>
      <c r="E5" s="52" t="s">
        <v>740</v>
      </c>
      <c r="F5" s="48" t="s">
        <v>740</v>
      </c>
      <c r="G5" s="21"/>
      <c r="H5" s="53"/>
      <c r="I5" s="48">
        <v>0</v>
      </c>
      <c r="J5" s="66" t="s">
        <v>43</v>
      </c>
      <c r="K5" s="67">
        <f t="shared" si="0"/>
        <v>0</v>
      </c>
      <c r="L5" s="69"/>
    </row>
    <row r="6" s="1" customFormat="1" ht="25" customHeight="1" spans="1:12">
      <c r="A6" s="36"/>
      <c r="B6" s="39"/>
      <c r="C6" s="92"/>
      <c r="D6" s="40"/>
      <c r="E6" s="52" t="s">
        <v>741</v>
      </c>
      <c r="F6" s="48" t="s">
        <v>741</v>
      </c>
      <c r="G6" s="21"/>
      <c r="H6" s="53"/>
      <c r="I6" s="48">
        <v>0</v>
      </c>
      <c r="J6" s="66" t="s">
        <v>43</v>
      </c>
      <c r="K6" s="67">
        <f t="shared" si="0"/>
        <v>0</v>
      </c>
      <c r="L6" s="70"/>
    </row>
    <row r="7" s="1" customFormat="1" ht="25" customHeight="1" spans="1:12">
      <c r="A7" s="124"/>
      <c r="B7" s="39"/>
      <c r="C7" s="92"/>
      <c r="D7" s="38" t="s">
        <v>92</v>
      </c>
      <c r="E7" s="98" t="s">
        <v>93</v>
      </c>
      <c r="F7" s="48" t="s">
        <v>94</v>
      </c>
      <c r="G7" s="21" t="s">
        <v>95</v>
      </c>
      <c r="H7" s="53" t="s">
        <v>96</v>
      </c>
      <c r="I7" s="48">
        <v>2</v>
      </c>
      <c r="J7" s="66" t="s">
        <v>43</v>
      </c>
      <c r="K7" s="131">
        <f t="shared" si="0"/>
        <v>2</v>
      </c>
      <c r="L7" s="132">
        <f>SUM(K7:K22)</f>
        <v>44</v>
      </c>
    </row>
    <row r="8" s="1" customFormat="1" ht="25" customHeight="1" spans="1:12">
      <c r="A8" s="124"/>
      <c r="B8" s="39"/>
      <c r="C8" s="92"/>
      <c r="D8" s="40"/>
      <c r="E8" s="98" t="s">
        <v>119</v>
      </c>
      <c r="F8" s="48" t="s">
        <v>120</v>
      </c>
      <c r="G8" s="21" t="s">
        <v>121</v>
      </c>
      <c r="H8" s="53" t="s">
        <v>122</v>
      </c>
      <c r="I8" s="48">
        <v>2</v>
      </c>
      <c r="J8" s="66" t="s">
        <v>43</v>
      </c>
      <c r="K8" s="131">
        <f t="shared" si="0"/>
        <v>2</v>
      </c>
      <c r="L8" s="67"/>
    </row>
    <row r="9" s="1" customFormat="1" ht="25" customHeight="1" spans="1:12">
      <c r="A9" s="124"/>
      <c r="B9" s="39"/>
      <c r="C9" s="92"/>
      <c r="D9" s="40"/>
      <c r="E9" s="128" t="s">
        <v>103</v>
      </c>
      <c r="F9" s="48" t="s">
        <v>104</v>
      </c>
      <c r="G9" s="21" t="s">
        <v>105</v>
      </c>
      <c r="H9" s="53" t="s">
        <v>106</v>
      </c>
      <c r="I9" s="48">
        <v>2</v>
      </c>
      <c r="J9" s="66" t="s">
        <v>43</v>
      </c>
      <c r="K9" s="131">
        <f t="shared" si="0"/>
        <v>2</v>
      </c>
      <c r="L9" s="67"/>
    </row>
    <row r="10" s="1" customFormat="1" ht="25" customHeight="1" spans="1:12">
      <c r="A10" s="124"/>
      <c r="B10" s="39"/>
      <c r="C10" s="92"/>
      <c r="D10" s="40"/>
      <c r="E10" s="98"/>
      <c r="F10" s="48" t="s">
        <v>107</v>
      </c>
      <c r="G10" s="21" t="s">
        <v>108</v>
      </c>
      <c r="H10" s="53" t="s">
        <v>109</v>
      </c>
      <c r="I10" s="48">
        <v>1</v>
      </c>
      <c r="J10" s="66" t="s">
        <v>43</v>
      </c>
      <c r="K10" s="131">
        <f t="shared" si="0"/>
        <v>1</v>
      </c>
      <c r="L10" s="67"/>
    </row>
    <row r="11" s="1" customFormat="1" ht="25" customHeight="1" spans="1:12">
      <c r="A11" s="124"/>
      <c r="B11" s="39"/>
      <c r="C11" s="92"/>
      <c r="D11" s="40"/>
      <c r="E11" s="98"/>
      <c r="F11" s="48" t="s">
        <v>110</v>
      </c>
      <c r="G11" s="21" t="s">
        <v>111</v>
      </c>
      <c r="H11" s="53"/>
      <c r="I11" s="48">
        <v>3</v>
      </c>
      <c r="J11" s="66" t="s">
        <v>43</v>
      </c>
      <c r="K11" s="131">
        <f t="shared" si="0"/>
        <v>3</v>
      </c>
      <c r="L11" s="67"/>
    </row>
    <row r="12" s="1" customFormat="1" ht="25" customHeight="1" spans="1:12">
      <c r="A12" s="124"/>
      <c r="B12" s="39"/>
      <c r="C12" s="92"/>
      <c r="D12" s="40"/>
      <c r="E12" s="98" t="s">
        <v>140</v>
      </c>
      <c r="F12" s="48" t="s">
        <v>141</v>
      </c>
      <c r="G12" s="21" t="s">
        <v>142</v>
      </c>
      <c r="H12" s="53" t="s">
        <v>143</v>
      </c>
      <c r="I12" s="48">
        <v>2</v>
      </c>
      <c r="J12" s="66" t="s">
        <v>43</v>
      </c>
      <c r="K12" s="131">
        <f t="shared" si="0"/>
        <v>2</v>
      </c>
      <c r="L12" s="67"/>
    </row>
    <row r="13" s="1" customFormat="1" ht="25" customHeight="1" spans="1:12">
      <c r="A13" s="124"/>
      <c r="B13" s="39"/>
      <c r="C13" s="92"/>
      <c r="D13" s="40"/>
      <c r="E13" s="98" t="s">
        <v>144</v>
      </c>
      <c r="F13" s="48" t="s">
        <v>145</v>
      </c>
      <c r="G13" s="21" t="s">
        <v>146</v>
      </c>
      <c r="H13" s="53"/>
      <c r="I13" s="48">
        <v>2</v>
      </c>
      <c r="J13" s="66" t="s">
        <v>43</v>
      </c>
      <c r="K13" s="131">
        <f t="shared" si="0"/>
        <v>2</v>
      </c>
      <c r="L13" s="67"/>
    </row>
    <row r="14" s="1" customFormat="1" ht="25" customHeight="1" spans="1:12">
      <c r="A14" s="124"/>
      <c r="B14" s="39"/>
      <c r="C14" s="92"/>
      <c r="D14" s="40"/>
      <c r="E14" s="98" t="s">
        <v>176</v>
      </c>
      <c r="F14" s="48" t="s">
        <v>177</v>
      </c>
      <c r="G14" s="21" t="s">
        <v>178</v>
      </c>
      <c r="H14" s="53" t="s">
        <v>179</v>
      </c>
      <c r="I14" s="48">
        <v>2</v>
      </c>
      <c r="J14" s="66" t="s">
        <v>43</v>
      </c>
      <c r="K14" s="131">
        <f t="shared" si="0"/>
        <v>2</v>
      </c>
      <c r="L14" s="67"/>
    </row>
    <row r="15" s="1" customFormat="1" ht="25" customHeight="1" spans="1:12">
      <c r="A15" s="124"/>
      <c r="B15" s="39"/>
      <c r="C15" s="92"/>
      <c r="D15" s="40"/>
      <c r="E15" s="98" t="s">
        <v>180</v>
      </c>
      <c r="F15" s="48" t="s">
        <v>181</v>
      </c>
      <c r="G15" s="21" t="s">
        <v>182</v>
      </c>
      <c r="H15" s="53" t="s">
        <v>183</v>
      </c>
      <c r="I15" s="48">
        <v>3</v>
      </c>
      <c r="J15" s="66" t="s">
        <v>43</v>
      </c>
      <c r="K15" s="131">
        <f t="shared" si="0"/>
        <v>3</v>
      </c>
      <c r="L15" s="67"/>
    </row>
    <row r="16" s="1" customFormat="1" ht="25" customHeight="1" spans="1:12">
      <c r="A16" s="124"/>
      <c r="B16" s="39"/>
      <c r="C16" s="92"/>
      <c r="D16" s="40"/>
      <c r="E16" s="98" t="s">
        <v>129</v>
      </c>
      <c r="F16" s="48" t="s">
        <v>130</v>
      </c>
      <c r="G16" s="21" t="s">
        <v>131</v>
      </c>
      <c r="H16" s="53" t="s">
        <v>132</v>
      </c>
      <c r="I16" s="48">
        <v>2</v>
      </c>
      <c r="J16" s="66" t="s">
        <v>43</v>
      </c>
      <c r="K16" s="131">
        <f t="shared" si="0"/>
        <v>2</v>
      </c>
      <c r="L16" s="67"/>
    </row>
    <row r="17" s="1" customFormat="1" ht="25" customHeight="1" spans="1:12">
      <c r="A17" s="124"/>
      <c r="B17" s="39"/>
      <c r="C17" s="92"/>
      <c r="D17" s="40"/>
      <c r="E17" s="98" t="s">
        <v>188</v>
      </c>
      <c r="F17" s="48" t="s">
        <v>189</v>
      </c>
      <c r="G17" s="21" t="s">
        <v>190</v>
      </c>
      <c r="H17" s="53"/>
      <c r="I17" s="48">
        <v>3</v>
      </c>
      <c r="J17" s="66" t="s">
        <v>43</v>
      </c>
      <c r="K17" s="131">
        <f t="shared" si="0"/>
        <v>3</v>
      </c>
      <c r="L17" s="67"/>
    </row>
    <row r="18" s="1" customFormat="1" ht="25" customHeight="1" spans="1:12">
      <c r="A18" s="124"/>
      <c r="B18" s="39"/>
      <c r="C18" s="92"/>
      <c r="D18" s="40"/>
      <c r="E18" s="98" t="s">
        <v>125</v>
      </c>
      <c r="F18" s="48" t="s">
        <v>126</v>
      </c>
      <c r="G18" s="21" t="s">
        <v>127</v>
      </c>
      <c r="H18" s="53" t="s">
        <v>128</v>
      </c>
      <c r="I18" s="48">
        <v>10</v>
      </c>
      <c r="J18" s="66" t="s">
        <v>43</v>
      </c>
      <c r="K18" s="131">
        <f t="shared" si="0"/>
        <v>10</v>
      </c>
      <c r="L18" s="67"/>
    </row>
    <row r="19" s="1" customFormat="1" ht="25" customHeight="1" spans="1:12">
      <c r="A19" s="124"/>
      <c r="B19" s="39"/>
      <c r="C19" s="92"/>
      <c r="D19" s="40"/>
      <c r="E19" s="98" t="s">
        <v>97</v>
      </c>
      <c r="F19" s="48" t="s">
        <v>98</v>
      </c>
      <c r="G19" s="21" t="s">
        <v>99</v>
      </c>
      <c r="H19" s="53"/>
      <c r="I19" s="48">
        <v>2</v>
      </c>
      <c r="J19" s="66" t="s">
        <v>43</v>
      </c>
      <c r="K19" s="131">
        <f t="shared" si="0"/>
        <v>2</v>
      </c>
      <c r="L19" s="67"/>
    </row>
    <row r="20" s="1" customFormat="1" ht="25" customHeight="1" spans="1:12">
      <c r="A20" s="124"/>
      <c r="B20" s="39"/>
      <c r="C20" s="92"/>
      <c r="D20" s="40"/>
      <c r="E20" s="98" t="s">
        <v>184</v>
      </c>
      <c r="F20" s="48" t="s">
        <v>185</v>
      </c>
      <c r="G20" s="21" t="s">
        <v>186</v>
      </c>
      <c r="H20" s="53" t="s">
        <v>187</v>
      </c>
      <c r="I20" s="48">
        <v>2</v>
      </c>
      <c r="J20" s="66" t="s">
        <v>43</v>
      </c>
      <c r="K20" s="131">
        <f t="shared" si="0"/>
        <v>2</v>
      </c>
      <c r="L20" s="67"/>
    </row>
    <row r="21" s="1" customFormat="1" ht="25" customHeight="1" spans="1:12">
      <c r="A21" s="124"/>
      <c r="B21" s="39"/>
      <c r="C21" s="92"/>
      <c r="D21" s="40"/>
      <c r="E21" s="98" t="s">
        <v>100</v>
      </c>
      <c r="F21" s="48" t="s">
        <v>101</v>
      </c>
      <c r="G21" s="21" t="s">
        <v>102</v>
      </c>
      <c r="H21" s="53"/>
      <c r="I21" s="48">
        <v>1</v>
      </c>
      <c r="J21" s="66" t="s">
        <v>43</v>
      </c>
      <c r="K21" s="131">
        <f t="shared" si="0"/>
        <v>1</v>
      </c>
      <c r="L21" s="67"/>
    </row>
    <row r="22" s="1" customFormat="1" ht="25" customHeight="1" spans="1:12">
      <c r="A22" s="124"/>
      <c r="B22" s="39"/>
      <c r="C22" s="92"/>
      <c r="D22" s="90"/>
      <c r="E22" s="98" t="s">
        <v>172</v>
      </c>
      <c r="F22" s="48" t="s">
        <v>173</v>
      </c>
      <c r="G22" s="21" t="s">
        <v>174</v>
      </c>
      <c r="H22" s="53" t="s">
        <v>175</v>
      </c>
      <c r="I22" s="48">
        <v>5</v>
      </c>
      <c r="J22" s="66" t="s">
        <v>43</v>
      </c>
      <c r="K22" s="131">
        <f t="shared" si="0"/>
        <v>5</v>
      </c>
      <c r="L22" s="67"/>
    </row>
    <row r="23" s="1" customFormat="1" ht="25" customHeight="1" spans="1:12">
      <c r="A23" s="124"/>
      <c r="B23" s="39"/>
      <c r="C23" s="92"/>
      <c r="D23" s="38" t="s">
        <v>244</v>
      </c>
      <c r="E23" s="93" t="s">
        <v>281</v>
      </c>
      <c r="F23" s="48" t="s">
        <v>282</v>
      </c>
      <c r="G23" s="21" t="s">
        <v>283</v>
      </c>
      <c r="H23" s="53"/>
      <c r="I23" s="48">
        <v>3</v>
      </c>
      <c r="J23" s="66" t="s">
        <v>43</v>
      </c>
      <c r="K23" s="67">
        <f t="shared" si="0"/>
        <v>3</v>
      </c>
      <c r="L23" s="133">
        <f>SUM(K23:K37)</f>
        <v>42</v>
      </c>
    </row>
    <row r="24" s="1" customFormat="1" ht="25" customHeight="1" spans="1:12">
      <c r="A24" s="124"/>
      <c r="B24" s="39"/>
      <c r="C24" s="92"/>
      <c r="D24" s="40"/>
      <c r="E24" s="92"/>
      <c r="F24" s="48" t="s">
        <v>284</v>
      </c>
      <c r="G24" s="21" t="s">
        <v>285</v>
      </c>
      <c r="H24" s="53"/>
      <c r="I24" s="48">
        <v>2</v>
      </c>
      <c r="J24" s="66" t="s">
        <v>43</v>
      </c>
      <c r="K24" s="67">
        <f t="shared" si="0"/>
        <v>2</v>
      </c>
      <c r="L24" s="69"/>
    </row>
    <row r="25" s="1" customFormat="1" ht="25" customHeight="1" spans="1:12">
      <c r="A25" s="124"/>
      <c r="B25" s="39"/>
      <c r="C25" s="92"/>
      <c r="D25" s="40"/>
      <c r="E25" s="126"/>
      <c r="F25" s="48" t="s">
        <v>286</v>
      </c>
      <c r="G25" s="21" t="s">
        <v>287</v>
      </c>
      <c r="H25" s="53"/>
      <c r="I25" s="48">
        <v>3</v>
      </c>
      <c r="J25" s="66" t="s">
        <v>43</v>
      </c>
      <c r="K25" s="67">
        <f t="shared" si="0"/>
        <v>3</v>
      </c>
      <c r="L25" s="69"/>
    </row>
    <row r="26" s="1" customFormat="1" ht="25" customHeight="1" spans="1:12">
      <c r="A26" s="124"/>
      <c r="B26" s="39"/>
      <c r="C26" s="92"/>
      <c r="D26" s="40"/>
      <c r="E26" s="93" t="s">
        <v>262</v>
      </c>
      <c r="F26" s="48" t="s">
        <v>263</v>
      </c>
      <c r="G26" s="21" t="s">
        <v>264</v>
      </c>
      <c r="H26" s="53"/>
      <c r="I26" s="48">
        <v>2</v>
      </c>
      <c r="J26" s="66" t="s">
        <v>43</v>
      </c>
      <c r="K26" s="67">
        <f t="shared" si="0"/>
        <v>2</v>
      </c>
      <c r="L26" s="69"/>
    </row>
    <row r="27" s="1" customFormat="1" ht="25" customHeight="1" spans="1:12">
      <c r="A27" s="124"/>
      <c r="B27" s="39"/>
      <c r="C27" s="92"/>
      <c r="D27" s="40"/>
      <c r="E27" s="92"/>
      <c r="F27" s="48" t="s">
        <v>265</v>
      </c>
      <c r="G27" s="21" t="s">
        <v>266</v>
      </c>
      <c r="H27" s="53"/>
      <c r="I27" s="48">
        <v>2</v>
      </c>
      <c r="J27" s="66" t="s">
        <v>43</v>
      </c>
      <c r="K27" s="67">
        <f t="shared" si="0"/>
        <v>2</v>
      </c>
      <c r="L27" s="69"/>
    </row>
    <row r="28" s="1" customFormat="1" ht="25" customHeight="1" spans="1:12">
      <c r="A28" s="124"/>
      <c r="B28" s="39"/>
      <c r="C28" s="92"/>
      <c r="D28" s="40"/>
      <c r="E28" s="92"/>
      <c r="F28" s="48" t="s">
        <v>267</v>
      </c>
      <c r="G28" s="21" t="s">
        <v>268</v>
      </c>
      <c r="H28" s="53"/>
      <c r="I28" s="48">
        <v>3</v>
      </c>
      <c r="J28" s="66" t="s">
        <v>43</v>
      </c>
      <c r="K28" s="67">
        <f t="shared" si="0"/>
        <v>3</v>
      </c>
      <c r="L28" s="69"/>
    </row>
    <row r="29" s="1" customFormat="1" ht="25" customHeight="1" spans="1:12">
      <c r="A29" s="124"/>
      <c r="B29" s="39"/>
      <c r="C29" s="92"/>
      <c r="D29" s="40"/>
      <c r="E29" s="92"/>
      <c r="F29" s="48" t="s">
        <v>269</v>
      </c>
      <c r="G29" s="21" t="s">
        <v>270</v>
      </c>
      <c r="H29" s="53"/>
      <c r="I29" s="48">
        <v>2</v>
      </c>
      <c r="J29" s="66" t="s">
        <v>43</v>
      </c>
      <c r="K29" s="67">
        <f t="shared" si="0"/>
        <v>2</v>
      </c>
      <c r="L29" s="69"/>
    </row>
    <row r="30" s="1" customFormat="1" ht="25" customHeight="1" spans="1:12">
      <c r="A30" s="124"/>
      <c r="B30" s="39"/>
      <c r="C30" s="92"/>
      <c r="D30" s="40"/>
      <c r="E30" s="126"/>
      <c r="F30" s="48" t="s">
        <v>271</v>
      </c>
      <c r="G30" s="21" t="s">
        <v>272</v>
      </c>
      <c r="H30" s="53" t="s">
        <v>255</v>
      </c>
      <c r="I30" s="48">
        <v>3</v>
      </c>
      <c r="J30" s="66" t="s">
        <v>43</v>
      </c>
      <c r="K30" s="67">
        <f t="shared" si="0"/>
        <v>3</v>
      </c>
      <c r="L30" s="69"/>
    </row>
    <row r="31" s="1" customFormat="1" ht="25" customHeight="1" spans="1:12">
      <c r="A31" s="124"/>
      <c r="B31" s="39"/>
      <c r="C31" s="92"/>
      <c r="D31" s="40"/>
      <c r="E31" s="93" t="s">
        <v>245</v>
      </c>
      <c r="F31" s="48" t="s">
        <v>246</v>
      </c>
      <c r="G31" s="21" t="s">
        <v>247</v>
      </c>
      <c r="H31" s="53"/>
      <c r="I31" s="48">
        <v>2</v>
      </c>
      <c r="J31" s="66" t="s">
        <v>43</v>
      </c>
      <c r="K31" s="67">
        <f t="shared" si="0"/>
        <v>2</v>
      </c>
      <c r="L31" s="69"/>
    </row>
    <row r="32" s="1" customFormat="1" ht="25" customHeight="1" spans="1:12">
      <c r="A32" s="124"/>
      <c r="B32" s="39"/>
      <c r="C32" s="92"/>
      <c r="D32" s="40"/>
      <c r="E32" s="92"/>
      <c r="F32" s="48" t="s">
        <v>248</v>
      </c>
      <c r="G32" s="21" t="s">
        <v>249</v>
      </c>
      <c r="H32" s="53"/>
      <c r="I32" s="48">
        <v>3</v>
      </c>
      <c r="J32" s="66" t="s">
        <v>43</v>
      </c>
      <c r="K32" s="67">
        <f t="shared" si="0"/>
        <v>3</v>
      </c>
      <c r="L32" s="69"/>
    </row>
    <row r="33" s="1" customFormat="1" ht="25" customHeight="1" spans="1:12">
      <c r="A33" s="124"/>
      <c r="B33" s="39"/>
      <c r="C33" s="92"/>
      <c r="D33" s="40"/>
      <c r="E33" s="92"/>
      <c r="F33" s="48" t="s">
        <v>250</v>
      </c>
      <c r="G33" s="21" t="s">
        <v>251</v>
      </c>
      <c r="H33" s="53" t="s">
        <v>252</v>
      </c>
      <c r="I33" s="48">
        <v>3</v>
      </c>
      <c r="J33" s="66" t="s">
        <v>43</v>
      </c>
      <c r="K33" s="67">
        <f t="shared" si="0"/>
        <v>3</v>
      </c>
      <c r="L33" s="69"/>
    </row>
    <row r="34" s="1" customFormat="1" ht="25" customHeight="1" spans="1:12">
      <c r="A34" s="124"/>
      <c r="B34" s="39"/>
      <c r="C34" s="92"/>
      <c r="D34" s="40"/>
      <c r="E34" s="126"/>
      <c r="F34" s="48" t="s">
        <v>253</v>
      </c>
      <c r="G34" s="21" t="s">
        <v>254</v>
      </c>
      <c r="H34" s="53" t="s">
        <v>255</v>
      </c>
      <c r="I34" s="48">
        <v>3</v>
      </c>
      <c r="J34" s="66" t="s">
        <v>43</v>
      </c>
      <c r="K34" s="67">
        <f t="shared" si="0"/>
        <v>3</v>
      </c>
      <c r="L34" s="69"/>
    </row>
    <row r="35" s="1" customFormat="1" ht="25" customHeight="1" spans="1:12">
      <c r="A35" s="124"/>
      <c r="B35" s="39"/>
      <c r="C35" s="92"/>
      <c r="D35" s="40"/>
      <c r="E35" s="98" t="s">
        <v>297</v>
      </c>
      <c r="F35" s="48" t="s">
        <v>742</v>
      </c>
      <c r="G35" s="21" t="s">
        <v>299</v>
      </c>
      <c r="H35" s="53"/>
      <c r="I35" s="48">
        <v>3</v>
      </c>
      <c r="J35" s="66" t="s">
        <v>43</v>
      </c>
      <c r="K35" s="67">
        <f t="shared" si="0"/>
        <v>3</v>
      </c>
      <c r="L35" s="69"/>
    </row>
    <row r="36" s="1" customFormat="1" ht="25" customHeight="1" spans="1:12">
      <c r="A36" s="124"/>
      <c r="B36" s="39"/>
      <c r="C36" s="92"/>
      <c r="D36" s="40"/>
      <c r="E36" s="98" t="s">
        <v>295</v>
      </c>
      <c r="F36" s="48" t="s">
        <v>295</v>
      </c>
      <c r="G36" s="21" t="s">
        <v>296</v>
      </c>
      <c r="H36" s="53"/>
      <c r="I36" s="48">
        <v>3</v>
      </c>
      <c r="J36" s="66" t="s">
        <v>43</v>
      </c>
      <c r="K36" s="67">
        <f t="shared" si="0"/>
        <v>3</v>
      </c>
      <c r="L36" s="69"/>
    </row>
    <row r="37" s="1" customFormat="1" ht="25" customHeight="1" spans="1:12">
      <c r="A37" s="124"/>
      <c r="B37" s="39"/>
      <c r="C37" s="92"/>
      <c r="D37" s="90"/>
      <c r="E37" s="98" t="s">
        <v>291</v>
      </c>
      <c r="F37" s="48" t="s">
        <v>292</v>
      </c>
      <c r="G37" s="21" t="s">
        <v>293</v>
      </c>
      <c r="H37" s="53" t="s">
        <v>294</v>
      </c>
      <c r="I37" s="48">
        <v>5</v>
      </c>
      <c r="J37" s="66" t="s">
        <v>43</v>
      </c>
      <c r="K37" s="67">
        <f t="shared" si="0"/>
        <v>5</v>
      </c>
      <c r="L37" s="69"/>
    </row>
    <row r="38" s="1" customFormat="1" ht="25" customHeight="1" spans="1:12">
      <c r="A38" s="124"/>
      <c r="B38" s="39"/>
      <c r="C38" s="92"/>
      <c r="D38" s="37" t="s">
        <v>332</v>
      </c>
      <c r="E38" s="98" t="s">
        <v>333</v>
      </c>
      <c r="F38" s="48" t="s">
        <v>334</v>
      </c>
      <c r="G38" s="21" t="s">
        <v>335</v>
      </c>
      <c r="H38" s="53" t="s">
        <v>336</v>
      </c>
      <c r="I38" s="48">
        <v>7</v>
      </c>
      <c r="J38" s="66" t="s">
        <v>43</v>
      </c>
      <c r="K38" s="67">
        <f t="shared" si="0"/>
        <v>7</v>
      </c>
      <c r="L38" s="68">
        <f>SUM(K38:K49)</f>
        <v>84</v>
      </c>
    </row>
    <row r="39" s="1" customFormat="1" ht="25" customHeight="1" spans="1:12">
      <c r="A39" s="124"/>
      <c r="B39" s="39"/>
      <c r="C39" s="92"/>
      <c r="D39" s="39"/>
      <c r="E39" s="128" t="s">
        <v>338</v>
      </c>
      <c r="F39" s="48" t="s">
        <v>338</v>
      </c>
      <c r="G39" s="21" t="s">
        <v>339</v>
      </c>
      <c r="H39" s="53" t="s">
        <v>340</v>
      </c>
      <c r="I39" s="48">
        <v>2</v>
      </c>
      <c r="J39" s="66" t="s">
        <v>43</v>
      </c>
      <c r="K39" s="67">
        <f t="shared" si="0"/>
        <v>2</v>
      </c>
      <c r="L39" s="69"/>
    </row>
    <row r="40" s="1" customFormat="1" ht="25" customHeight="1" spans="1:12">
      <c r="A40" s="124"/>
      <c r="B40" s="39"/>
      <c r="C40" s="92"/>
      <c r="D40" s="39"/>
      <c r="E40" s="98"/>
      <c r="F40" s="48" t="s">
        <v>342</v>
      </c>
      <c r="G40" s="21" t="s">
        <v>343</v>
      </c>
      <c r="H40" s="53" t="s">
        <v>344</v>
      </c>
      <c r="I40" s="48">
        <v>2</v>
      </c>
      <c r="J40" s="66" t="s">
        <v>43</v>
      </c>
      <c r="K40" s="67">
        <f t="shared" si="0"/>
        <v>2</v>
      </c>
      <c r="L40" s="69"/>
    </row>
    <row r="41" s="1" customFormat="1" ht="25" customHeight="1" spans="1:12">
      <c r="A41" s="124"/>
      <c r="B41" s="39"/>
      <c r="C41" s="92"/>
      <c r="D41" s="39"/>
      <c r="E41" s="98" t="s">
        <v>346</v>
      </c>
      <c r="F41" s="48" t="s">
        <v>347</v>
      </c>
      <c r="G41" s="21" t="s">
        <v>348</v>
      </c>
      <c r="H41" s="53" t="s">
        <v>349</v>
      </c>
      <c r="I41" s="48">
        <v>12</v>
      </c>
      <c r="J41" s="66" t="s">
        <v>43</v>
      </c>
      <c r="K41" s="67">
        <f t="shared" si="0"/>
        <v>12</v>
      </c>
      <c r="L41" s="69"/>
    </row>
    <row r="42" s="1" customFormat="1" ht="25" customHeight="1" spans="1:12">
      <c r="A42" s="124"/>
      <c r="B42" s="39"/>
      <c r="C42" s="92"/>
      <c r="D42" s="39"/>
      <c r="E42" s="98" t="s">
        <v>353</v>
      </c>
      <c r="F42" s="48" t="s">
        <v>354</v>
      </c>
      <c r="G42" s="21" t="s">
        <v>355</v>
      </c>
      <c r="H42" s="53" t="s">
        <v>356</v>
      </c>
      <c r="I42" s="48">
        <v>8</v>
      </c>
      <c r="J42" s="66" t="s">
        <v>43</v>
      </c>
      <c r="K42" s="67">
        <f t="shared" si="0"/>
        <v>8</v>
      </c>
      <c r="L42" s="69"/>
    </row>
    <row r="43" s="1" customFormat="1" ht="25" customHeight="1" spans="1:12">
      <c r="A43" s="124"/>
      <c r="B43" s="39"/>
      <c r="C43" s="92"/>
      <c r="D43" s="39"/>
      <c r="E43" s="93" t="s">
        <v>367</v>
      </c>
      <c r="F43" s="48" t="s">
        <v>368</v>
      </c>
      <c r="G43" s="21" t="s">
        <v>369</v>
      </c>
      <c r="H43" s="53" t="s">
        <v>370</v>
      </c>
      <c r="I43" s="48">
        <v>15</v>
      </c>
      <c r="J43" s="66" t="s">
        <v>43</v>
      </c>
      <c r="K43" s="67">
        <f t="shared" si="0"/>
        <v>15</v>
      </c>
      <c r="L43" s="69"/>
    </row>
    <row r="44" s="1" customFormat="1" ht="25" customHeight="1" spans="1:12">
      <c r="A44" s="124"/>
      <c r="B44" s="39"/>
      <c r="C44" s="92"/>
      <c r="D44" s="39"/>
      <c r="E44" s="126"/>
      <c r="F44" s="48" t="s">
        <v>372</v>
      </c>
      <c r="G44" s="21" t="s">
        <v>373</v>
      </c>
      <c r="H44" s="53" t="s">
        <v>374</v>
      </c>
      <c r="I44" s="48">
        <v>1</v>
      </c>
      <c r="J44" s="66" t="s">
        <v>43</v>
      </c>
      <c r="K44" s="67">
        <f t="shared" si="0"/>
        <v>1</v>
      </c>
      <c r="L44" s="69"/>
    </row>
    <row r="45" s="1" customFormat="1" ht="25" customHeight="1" spans="1:12">
      <c r="A45" s="124"/>
      <c r="B45" s="39"/>
      <c r="C45" s="92"/>
      <c r="D45" s="39"/>
      <c r="E45" s="98" t="s">
        <v>358</v>
      </c>
      <c r="F45" s="48" t="s">
        <v>359</v>
      </c>
      <c r="G45" s="21" t="s">
        <v>360</v>
      </c>
      <c r="H45" s="53" t="s">
        <v>361</v>
      </c>
      <c r="I45" s="48">
        <v>2</v>
      </c>
      <c r="J45" s="66" t="s">
        <v>43</v>
      </c>
      <c r="K45" s="67">
        <f t="shared" si="0"/>
        <v>2</v>
      </c>
      <c r="L45" s="69"/>
    </row>
    <row r="46" s="1" customFormat="1" ht="25" customHeight="1" spans="1:12">
      <c r="A46" s="124"/>
      <c r="B46" s="39"/>
      <c r="C46" s="92"/>
      <c r="D46" s="39"/>
      <c r="E46" s="98" t="s">
        <v>363</v>
      </c>
      <c r="F46" s="48" t="s">
        <v>364</v>
      </c>
      <c r="G46" s="21" t="s">
        <v>365</v>
      </c>
      <c r="H46" s="53" t="s">
        <v>366</v>
      </c>
      <c r="I46" s="48">
        <v>6</v>
      </c>
      <c r="J46" s="66" t="s">
        <v>43</v>
      </c>
      <c r="K46" s="67">
        <f t="shared" si="0"/>
        <v>6</v>
      </c>
      <c r="L46" s="69"/>
    </row>
    <row r="47" s="1" customFormat="1" ht="25" customHeight="1" spans="1:12">
      <c r="A47" s="124"/>
      <c r="B47" s="39"/>
      <c r="C47" s="92"/>
      <c r="D47" s="39"/>
      <c r="E47" s="98" t="s">
        <v>195</v>
      </c>
      <c r="F47" s="48" t="s">
        <v>196</v>
      </c>
      <c r="G47" s="21" t="s">
        <v>197</v>
      </c>
      <c r="H47" s="53"/>
      <c r="I47" s="48">
        <v>10</v>
      </c>
      <c r="J47" s="66" t="s">
        <v>43</v>
      </c>
      <c r="K47" s="67">
        <f t="shared" si="0"/>
        <v>10</v>
      </c>
      <c r="L47" s="69"/>
    </row>
    <row r="48" s="1" customFormat="1" ht="25" customHeight="1" spans="1:12">
      <c r="A48" s="124"/>
      <c r="B48" s="39"/>
      <c r="C48" s="92"/>
      <c r="D48" s="39"/>
      <c r="E48" s="98" t="s">
        <v>203</v>
      </c>
      <c r="F48" s="48" t="s">
        <v>204</v>
      </c>
      <c r="G48" s="21" t="s">
        <v>205</v>
      </c>
      <c r="H48" s="53"/>
      <c r="I48" s="48">
        <v>16</v>
      </c>
      <c r="J48" s="66" t="s">
        <v>43</v>
      </c>
      <c r="K48" s="67">
        <f t="shared" si="0"/>
        <v>16</v>
      </c>
      <c r="L48" s="69"/>
    </row>
    <row r="49" s="1" customFormat="1" ht="25" customHeight="1" spans="1:12">
      <c r="A49" s="124"/>
      <c r="B49" s="39"/>
      <c r="C49" s="92"/>
      <c r="D49" s="125"/>
      <c r="E49" s="98" t="s">
        <v>198</v>
      </c>
      <c r="F49" s="48" t="s">
        <v>199</v>
      </c>
      <c r="G49" s="21" t="s">
        <v>200</v>
      </c>
      <c r="H49" s="53"/>
      <c r="I49" s="48">
        <v>3</v>
      </c>
      <c r="J49" s="66" t="s">
        <v>43</v>
      </c>
      <c r="K49" s="67">
        <f t="shared" si="0"/>
        <v>3</v>
      </c>
      <c r="L49" s="70"/>
    </row>
    <row r="50" s="1" customFormat="1" ht="25" customHeight="1" spans="1:12">
      <c r="A50" s="124"/>
      <c r="B50" s="39"/>
      <c r="C50" s="92"/>
      <c r="D50" s="38" t="s">
        <v>378</v>
      </c>
      <c r="E50" s="128" t="s">
        <v>379</v>
      </c>
      <c r="F50" s="48" t="s">
        <v>380</v>
      </c>
      <c r="G50" s="21" t="s">
        <v>381</v>
      </c>
      <c r="H50" s="53" t="s">
        <v>382</v>
      </c>
      <c r="I50" s="48">
        <v>1</v>
      </c>
      <c r="J50" s="66" t="s">
        <v>43</v>
      </c>
      <c r="K50" s="67">
        <f t="shared" si="0"/>
        <v>1</v>
      </c>
      <c r="L50" s="132">
        <f>SUM(K50:K57)</f>
        <v>6</v>
      </c>
    </row>
    <row r="51" s="1" customFormat="1" ht="25" customHeight="1" spans="1:12">
      <c r="A51" s="124"/>
      <c r="B51" s="39"/>
      <c r="C51" s="92"/>
      <c r="D51" s="40"/>
      <c r="E51" s="98"/>
      <c r="F51" s="48" t="s">
        <v>383</v>
      </c>
      <c r="G51" s="21" t="s">
        <v>384</v>
      </c>
      <c r="H51" s="53"/>
      <c r="I51" s="48">
        <v>1</v>
      </c>
      <c r="J51" s="66" t="s">
        <v>43</v>
      </c>
      <c r="K51" s="67">
        <f t="shared" si="0"/>
        <v>1</v>
      </c>
      <c r="L51" s="67"/>
    </row>
    <row r="52" s="1" customFormat="1" ht="25" customHeight="1" spans="1:12">
      <c r="A52" s="124"/>
      <c r="B52" s="39"/>
      <c r="C52" s="92"/>
      <c r="D52" s="40"/>
      <c r="E52" s="98"/>
      <c r="F52" s="48" t="s">
        <v>386</v>
      </c>
      <c r="G52" s="21" t="s">
        <v>387</v>
      </c>
      <c r="H52" s="53"/>
      <c r="I52" s="48">
        <v>1</v>
      </c>
      <c r="J52" s="66" t="s">
        <v>43</v>
      </c>
      <c r="K52" s="67">
        <f t="shared" si="0"/>
        <v>1</v>
      </c>
      <c r="L52" s="67"/>
    </row>
    <row r="53" s="1" customFormat="1" ht="25" customHeight="1" spans="1:12">
      <c r="A53" s="124"/>
      <c r="B53" s="39"/>
      <c r="C53" s="92"/>
      <c r="D53" s="40"/>
      <c r="E53" s="98"/>
      <c r="F53" s="48" t="s">
        <v>388</v>
      </c>
      <c r="G53" s="21" t="s">
        <v>389</v>
      </c>
      <c r="H53" s="53"/>
      <c r="I53" s="48">
        <v>1</v>
      </c>
      <c r="J53" s="66" t="s">
        <v>43</v>
      </c>
      <c r="K53" s="67">
        <f t="shared" si="0"/>
        <v>1</v>
      </c>
      <c r="L53" s="67"/>
    </row>
    <row r="54" s="1" customFormat="1" ht="25" customHeight="1" spans="1:12">
      <c r="A54" s="124"/>
      <c r="B54" s="39"/>
      <c r="C54" s="92"/>
      <c r="D54" s="40"/>
      <c r="E54" s="98"/>
      <c r="F54" s="48" t="s">
        <v>390</v>
      </c>
      <c r="G54" s="21" t="s">
        <v>391</v>
      </c>
      <c r="H54" s="53"/>
      <c r="I54" s="48">
        <v>1</v>
      </c>
      <c r="J54" s="66" t="s">
        <v>43</v>
      </c>
      <c r="K54" s="67">
        <f t="shared" si="0"/>
        <v>1</v>
      </c>
      <c r="L54" s="67"/>
    </row>
    <row r="55" s="1" customFormat="1" ht="25" customHeight="1" spans="1:12">
      <c r="A55" s="124"/>
      <c r="B55" s="39"/>
      <c r="C55" s="92"/>
      <c r="D55" s="40"/>
      <c r="E55" s="98"/>
      <c r="F55" s="48" t="s">
        <v>392</v>
      </c>
      <c r="G55" s="21" t="s">
        <v>393</v>
      </c>
      <c r="H55" s="53"/>
      <c r="I55" s="48">
        <v>0</v>
      </c>
      <c r="J55" s="66" t="s">
        <v>43</v>
      </c>
      <c r="K55" s="67">
        <f t="shared" si="0"/>
        <v>0</v>
      </c>
      <c r="L55" s="67"/>
    </row>
    <row r="56" s="1" customFormat="1" ht="25" customHeight="1" spans="1:12">
      <c r="A56" s="124"/>
      <c r="B56" s="39"/>
      <c r="C56" s="92"/>
      <c r="D56" s="40"/>
      <c r="E56" s="98"/>
      <c r="F56" s="48" t="s">
        <v>395</v>
      </c>
      <c r="G56" s="21" t="s">
        <v>396</v>
      </c>
      <c r="H56" s="53"/>
      <c r="I56" s="48">
        <v>0</v>
      </c>
      <c r="J56" s="66" t="s">
        <v>43</v>
      </c>
      <c r="K56" s="67">
        <f t="shared" si="0"/>
        <v>0</v>
      </c>
      <c r="L56" s="67"/>
    </row>
    <row r="57" s="1" customFormat="1" ht="25" customHeight="1" spans="1:12">
      <c r="A57" s="124"/>
      <c r="B57" s="125"/>
      <c r="C57" s="126"/>
      <c r="D57" s="90"/>
      <c r="E57" s="98" t="s">
        <v>398</v>
      </c>
      <c r="F57" s="48" t="s">
        <v>398</v>
      </c>
      <c r="G57" s="21" t="s">
        <v>399</v>
      </c>
      <c r="H57" s="53"/>
      <c r="I57" s="48">
        <v>1</v>
      </c>
      <c r="J57" s="66" t="s">
        <v>43</v>
      </c>
      <c r="K57" s="67">
        <f t="shared" si="0"/>
        <v>1</v>
      </c>
      <c r="L57" s="67"/>
    </row>
    <row r="58" s="1" customFormat="1" ht="25" customHeight="1" spans="1:12">
      <c r="A58" s="127"/>
      <c r="B58" s="102" t="s">
        <v>743</v>
      </c>
      <c r="C58" s="52" t="s">
        <v>112</v>
      </c>
      <c r="D58" s="52"/>
      <c r="E58" s="52" t="s">
        <v>113</v>
      </c>
      <c r="F58" s="48" t="s">
        <v>113</v>
      </c>
      <c r="G58" s="56" t="s">
        <v>114</v>
      </c>
      <c r="H58" s="57" t="s">
        <v>115</v>
      </c>
      <c r="I58" s="54">
        <v>1</v>
      </c>
      <c r="J58" s="66" t="s">
        <v>43</v>
      </c>
      <c r="K58" s="67">
        <f t="shared" si="0"/>
        <v>1</v>
      </c>
      <c r="L58" s="68">
        <f>SUM(K58:K83)</f>
        <v>134</v>
      </c>
    </row>
    <row r="59" s="1" customFormat="1" ht="25" customHeight="1" spans="1:12">
      <c r="A59" s="127"/>
      <c r="B59" s="67"/>
      <c r="C59" s="52" t="s">
        <v>133</v>
      </c>
      <c r="D59" s="52"/>
      <c r="E59" s="52" t="s">
        <v>134</v>
      </c>
      <c r="F59" s="48" t="s">
        <v>134</v>
      </c>
      <c r="G59" s="56" t="s">
        <v>135</v>
      </c>
      <c r="H59" s="57" t="s">
        <v>136</v>
      </c>
      <c r="I59" s="54">
        <v>8</v>
      </c>
      <c r="J59" s="66" t="s">
        <v>43</v>
      </c>
      <c r="K59" s="67">
        <f t="shared" si="0"/>
        <v>8</v>
      </c>
      <c r="L59" s="69"/>
    </row>
    <row r="60" s="1" customFormat="1" ht="25" customHeight="1" spans="1:12">
      <c r="A60" s="127"/>
      <c r="B60" s="67"/>
      <c r="C60" s="52" t="s">
        <v>137</v>
      </c>
      <c r="D60" s="90"/>
      <c r="E60" s="90" t="s">
        <v>138</v>
      </c>
      <c r="F60" s="86" t="s">
        <v>138</v>
      </c>
      <c r="G60" s="59" t="s">
        <v>139</v>
      </c>
      <c r="H60" s="60"/>
      <c r="I60" s="58">
        <v>2</v>
      </c>
      <c r="J60" s="66" t="s">
        <v>43</v>
      </c>
      <c r="K60" s="67">
        <f t="shared" si="0"/>
        <v>2</v>
      </c>
      <c r="L60" s="69"/>
    </row>
    <row r="61" s="1" customFormat="1" ht="25" customHeight="1" spans="1:12">
      <c r="A61" s="127"/>
      <c r="B61" s="67"/>
      <c r="C61" s="52" t="s">
        <v>147</v>
      </c>
      <c r="D61" s="52"/>
      <c r="E61" s="52" t="s">
        <v>148</v>
      </c>
      <c r="F61" s="48" t="s">
        <v>148</v>
      </c>
      <c r="G61" s="56" t="s">
        <v>149</v>
      </c>
      <c r="H61" s="57" t="s">
        <v>150</v>
      </c>
      <c r="I61" s="54">
        <v>3</v>
      </c>
      <c r="J61" s="66" t="s">
        <v>43</v>
      </c>
      <c r="K61" s="67">
        <f t="shared" si="0"/>
        <v>3</v>
      </c>
      <c r="L61" s="69"/>
    </row>
    <row r="62" s="1" customFormat="1" ht="25" customHeight="1" spans="1:12">
      <c r="A62" s="127"/>
      <c r="B62" s="67"/>
      <c r="C62" s="52" t="s">
        <v>151</v>
      </c>
      <c r="D62" s="52"/>
      <c r="E62" s="52" t="s">
        <v>152</v>
      </c>
      <c r="F62" s="48" t="s">
        <v>152</v>
      </c>
      <c r="G62" s="56" t="s">
        <v>153</v>
      </c>
      <c r="H62" s="57"/>
      <c r="I62" s="54">
        <v>1</v>
      </c>
      <c r="J62" s="66" t="s">
        <v>43</v>
      </c>
      <c r="K62" s="67">
        <f t="shared" si="0"/>
        <v>1</v>
      </c>
      <c r="L62" s="69"/>
    </row>
    <row r="63" s="1" customFormat="1" ht="25" customHeight="1" spans="1:12">
      <c r="A63" s="127"/>
      <c r="B63" s="67"/>
      <c r="C63" s="52" t="s">
        <v>154</v>
      </c>
      <c r="D63" s="90"/>
      <c r="E63" s="90" t="s">
        <v>155</v>
      </c>
      <c r="F63" s="86" t="s">
        <v>155</v>
      </c>
      <c r="G63" s="59" t="s">
        <v>156</v>
      </c>
      <c r="H63" s="60"/>
      <c r="I63" s="58">
        <v>1</v>
      </c>
      <c r="J63" s="66" t="s">
        <v>43</v>
      </c>
      <c r="K63" s="67">
        <f t="shared" si="0"/>
        <v>1</v>
      </c>
      <c r="L63" s="69"/>
    </row>
    <row r="64" s="1" customFormat="1" ht="25" customHeight="1" spans="1:12">
      <c r="A64" s="127"/>
      <c r="B64" s="67"/>
      <c r="C64" s="52" t="s">
        <v>157</v>
      </c>
      <c r="D64" s="90"/>
      <c r="E64" s="90" t="s">
        <v>158</v>
      </c>
      <c r="F64" s="86" t="s">
        <v>158</v>
      </c>
      <c r="G64" s="59" t="s">
        <v>159</v>
      </c>
      <c r="H64" s="60"/>
      <c r="I64" s="58">
        <v>2</v>
      </c>
      <c r="J64" s="66" t="s">
        <v>43</v>
      </c>
      <c r="K64" s="67">
        <f t="shared" si="0"/>
        <v>2</v>
      </c>
      <c r="L64" s="69"/>
    </row>
    <row r="65" s="1" customFormat="1" ht="25" customHeight="1" spans="1:12">
      <c r="A65" s="127"/>
      <c r="B65" s="67"/>
      <c r="C65" s="52" t="s">
        <v>160</v>
      </c>
      <c r="D65" s="90"/>
      <c r="E65" s="90" t="s">
        <v>161</v>
      </c>
      <c r="F65" s="86" t="s">
        <v>161</v>
      </c>
      <c r="G65" s="59" t="s">
        <v>162</v>
      </c>
      <c r="H65" s="60"/>
      <c r="I65" s="58">
        <v>8</v>
      </c>
      <c r="J65" s="66" t="s">
        <v>43</v>
      </c>
      <c r="K65" s="67">
        <f t="shared" si="0"/>
        <v>8</v>
      </c>
      <c r="L65" s="69"/>
    </row>
    <row r="66" s="1" customFormat="1" ht="25" customHeight="1" spans="1:12">
      <c r="A66" s="127"/>
      <c r="B66" s="67"/>
      <c r="C66" s="52" t="s">
        <v>163</v>
      </c>
      <c r="D66" s="90"/>
      <c r="E66" s="90" t="s">
        <v>164</v>
      </c>
      <c r="F66" s="86" t="s">
        <v>164</v>
      </c>
      <c r="G66" s="59" t="s">
        <v>165</v>
      </c>
      <c r="H66" s="60"/>
      <c r="I66" s="58">
        <v>3</v>
      </c>
      <c r="J66" s="66" t="s">
        <v>43</v>
      </c>
      <c r="K66" s="67">
        <f t="shared" si="0"/>
        <v>3</v>
      </c>
      <c r="L66" s="69"/>
    </row>
    <row r="67" s="1" customFormat="1" ht="25" customHeight="1" spans="1:12">
      <c r="A67" s="127"/>
      <c r="B67" s="67"/>
      <c r="C67" s="52" t="s">
        <v>166</v>
      </c>
      <c r="D67" s="90"/>
      <c r="E67" s="88" t="s">
        <v>167</v>
      </c>
      <c r="F67" s="48" t="s">
        <v>167</v>
      </c>
      <c r="G67" s="56" t="s">
        <v>168</v>
      </c>
      <c r="H67" s="60"/>
      <c r="I67" s="58">
        <v>4</v>
      </c>
      <c r="J67" s="66" t="s">
        <v>43</v>
      </c>
      <c r="K67" s="67">
        <f t="shared" ref="K67:K130" si="1">IF(J67&lt;&gt;0,I67,0)</f>
        <v>4</v>
      </c>
      <c r="L67" s="69"/>
    </row>
    <row r="68" s="1" customFormat="1" ht="25" customHeight="1" spans="1:12">
      <c r="A68" s="127"/>
      <c r="B68" s="67"/>
      <c r="C68" s="52" t="s">
        <v>169</v>
      </c>
      <c r="D68" s="90"/>
      <c r="E68" s="88" t="s">
        <v>170</v>
      </c>
      <c r="F68" s="48" t="s">
        <v>170</v>
      </c>
      <c r="G68" s="56" t="s">
        <v>171</v>
      </c>
      <c r="H68" s="60"/>
      <c r="I68" s="58">
        <v>2</v>
      </c>
      <c r="J68" s="66" t="s">
        <v>43</v>
      </c>
      <c r="K68" s="67">
        <f t="shared" si="1"/>
        <v>2</v>
      </c>
      <c r="L68" s="69"/>
    </row>
    <row r="69" s="1" customFormat="1" ht="25" customHeight="1" spans="1:12">
      <c r="A69" s="127"/>
      <c r="B69" s="67"/>
      <c r="C69" s="52" t="s">
        <v>657</v>
      </c>
      <c r="D69" s="52"/>
      <c r="E69" s="52" t="s">
        <v>658</v>
      </c>
      <c r="F69" s="48" t="s">
        <v>658</v>
      </c>
      <c r="G69" s="56" t="s">
        <v>659</v>
      </c>
      <c r="H69" s="57"/>
      <c r="I69" s="54">
        <v>2</v>
      </c>
      <c r="J69" s="66" t="s">
        <v>43</v>
      </c>
      <c r="K69" s="67">
        <f t="shared" si="1"/>
        <v>2</v>
      </c>
      <c r="L69" s="69"/>
    </row>
    <row r="70" s="1" customFormat="1" ht="25" customHeight="1" spans="1:12">
      <c r="A70" s="127"/>
      <c r="B70" s="67"/>
      <c r="C70" s="52" t="s">
        <v>660</v>
      </c>
      <c r="D70" s="52"/>
      <c r="E70" s="88" t="s">
        <v>660</v>
      </c>
      <c r="F70" s="48" t="s">
        <v>660</v>
      </c>
      <c r="G70" s="56" t="s">
        <v>661</v>
      </c>
      <c r="H70" s="57"/>
      <c r="I70" s="54">
        <v>4</v>
      </c>
      <c r="J70" s="66" t="s">
        <v>43</v>
      </c>
      <c r="K70" s="67">
        <f t="shared" si="1"/>
        <v>4</v>
      </c>
      <c r="L70" s="69"/>
    </row>
    <row r="71" s="1" customFormat="1" ht="25" customHeight="1" spans="1:12">
      <c r="A71" s="127"/>
      <c r="B71" s="67"/>
      <c r="C71" s="52" t="s">
        <v>233</v>
      </c>
      <c r="D71" s="52"/>
      <c r="E71" s="88" t="s">
        <v>234</v>
      </c>
      <c r="F71" s="48" t="s">
        <v>234</v>
      </c>
      <c r="G71" s="56" t="s">
        <v>235</v>
      </c>
      <c r="H71" s="53" t="s">
        <v>236</v>
      </c>
      <c r="I71" s="54">
        <v>10</v>
      </c>
      <c r="J71" s="66" t="s">
        <v>43</v>
      </c>
      <c r="K71" s="67">
        <f t="shared" si="1"/>
        <v>10</v>
      </c>
      <c r="L71" s="69"/>
    </row>
    <row r="72" s="1" customFormat="1" ht="25" customHeight="1" spans="1:12">
      <c r="A72" s="127"/>
      <c r="B72" s="67"/>
      <c r="C72" s="52" t="s">
        <v>116</v>
      </c>
      <c r="D72" s="52"/>
      <c r="E72" s="52" t="s">
        <v>117</v>
      </c>
      <c r="F72" s="48" t="s">
        <v>117</v>
      </c>
      <c r="G72" s="56" t="s">
        <v>118</v>
      </c>
      <c r="H72" s="57"/>
      <c r="I72" s="54">
        <v>5</v>
      </c>
      <c r="J72" s="66" t="s">
        <v>43</v>
      </c>
      <c r="K72" s="67">
        <f t="shared" si="1"/>
        <v>5</v>
      </c>
      <c r="L72" s="69"/>
    </row>
    <row r="73" s="1" customFormat="1" ht="25" customHeight="1" spans="1:12">
      <c r="A73" s="127"/>
      <c r="B73" s="67"/>
      <c r="C73" s="52" t="s">
        <v>222</v>
      </c>
      <c r="D73" s="52"/>
      <c r="E73" s="52" t="s">
        <v>223</v>
      </c>
      <c r="F73" s="48" t="s">
        <v>223</v>
      </c>
      <c r="G73" s="56" t="s">
        <v>224</v>
      </c>
      <c r="H73" s="57"/>
      <c r="I73" s="54">
        <v>8</v>
      </c>
      <c r="J73" s="66" t="s">
        <v>43</v>
      </c>
      <c r="K73" s="67">
        <f t="shared" si="1"/>
        <v>8</v>
      </c>
      <c r="L73" s="69"/>
    </row>
    <row r="74" s="1" customFormat="1" ht="25" customHeight="1" spans="1:12">
      <c r="A74" s="127"/>
      <c r="B74" s="67"/>
      <c r="C74" s="52" t="s">
        <v>208</v>
      </c>
      <c r="D74" s="52"/>
      <c r="E74" s="52" t="s">
        <v>209</v>
      </c>
      <c r="F74" s="48" t="s">
        <v>209</v>
      </c>
      <c r="G74" s="56" t="s">
        <v>210</v>
      </c>
      <c r="H74" s="57"/>
      <c r="I74" s="54">
        <v>10</v>
      </c>
      <c r="J74" s="66" t="s">
        <v>43</v>
      </c>
      <c r="K74" s="67">
        <f t="shared" si="1"/>
        <v>10</v>
      </c>
      <c r="L74" s="69"/>
    </row>
    <row r="75" s="1" customFormat="1" ht="25" customHeight="1" spans="1:12">
      <c r="A75" s="127"/>
      <c r="B75" s="67"/>
      <c r="C75" s="100" t="s">
        <v>211</v>
      </c>
      <c r="D75" s="52"/>
      <c r="E75" s="52" t="s">
        <v>211</v>
      </c>
      <c r="F75" s="48" t="s">
        <v>212</v>
      </c>
      <c r="G75" s="56" t="s">
        <v>213</v>
      </c>
      <c r="H75" s="57"/>
      <c r="I75" s="54">
        <v>15</v>
      </c>
      <c r="J75" s="66" t="s">
        <v>43</v>
      </c>
      <c r="K75" s="67">
        <f t="shared" si="1"/>
        <v>15</v>
      </c>
      <c r="L75" s="69"/>
    </row>
    <row r="76" s="1" customFormat="1" ht="25" customHeight="1" spans="1:12">
      <c r="A76" s="127"/>
      <c r="B76" s="67"/>
      <c r="C76" s="52" t="s">
        <v>229</v>
      </c>
      <c r="D76" s="52"/>
      <c r="E76" s="52" t="s">
        <v>229</v>
      </c>
      <c r="F76" s="48" t="s">
        <v>230</v>
      </c>
      <c r="G76" s="56" t="s">
        <v>231</v>
      </c>
      <c r="H76" s="57"/>
      <c r="I76" s="54">
        <v>6</v>
      </c>
      <c r="J76" s="66" t="s">
        <v>43</v>
      </c>
      <c r="K76" s="67">
        <f t="shared" si="1"/>
        <v>6</v>
      </c>
      <c r="L76" s="69"/>
    </row>
    <row r="77" s="1" customFormat="1" ht="25" customHeight="1" spans="1:12">
      <c r="A77" s="127"/>
      <c r="B77" s="67"/>
      <c r="C77" s="52" t="s">
        <v>191</v>
      </c>
      <c r="D77" s="52"/>
      <c r="E77" s="52" t="s">
        <v>192</v>
      </c>
      <c r="F77" s="48" t="s">
        <v>192</v>
      </c>
      <c r="G77" s="56" t="s">
        <v>193</v>
      </c>
      <c r="H77" s="57" t="s">
        <v>194</v>
      </c>
      <c r="I77" s="54">
        <v>2</v>
      </c>
      <c r="J77" s="66" t="s">
        <v>43</v>
      </c>
      <c r="K77" s="67">
        <f t="shared" si="1"/>
        <v>2</v>
      </c>
      <c r="L77" s="69"/>
    </row>
    <row r="78" s="1" customFormat="1" ht="24" customHeight="1" spans="1:12">
      <c r="A78" s="127"/>
      <c r="B78" s="67"/>
      <c r="C78" s="52" t="s">
        <v>214</v>
      </c>
      <c r="D78" s="52"/>
      <c r="E78" s="52" t="s">
        <v>214</v>
      </c>
      <c r="F78" s="48" t="s">
        <v>214</v>
      </c>
      <c r="G78" s="21" t="s">
        <v>215</v>
      </c>
      <c r="H78" s="57"/>
      <c r="I78" s="54">
        <v>3</v>
      </c>
      <c r="J78" s="66" t="s">
        <v>43</v>
      </c>
      <c r="K78" s="67">
        <f t="shared" si="1"/>
        <v>3</v>
      </c>
      <c r="L78" s="69"/>
    </row>
    <row r="79" s="1" customFormat="1" ht="25" customHeight="1" spans="1:12">
      <c r="A79" s="127"/>
      <c r="B79" s="67"/>
      <c r="C79" s="52" t="s">
        <v>225</v>
      </c>
      <c r="D79" s="52"/>
      <c r="E79" s="52" t="s">
        <v>226</v>
      </c>
      <c r="F79" s="48" t="s">
        <v>226</v>
      </c>
      <c r="G79" s="56" t="s">
        <v>227</v>
      </c>
      <c r="H79" s="57" t="s">
        <v>228</v>
      </c>
      <c r="I79" s="54">
        <v>8</v>
      </c>
      <c r="J79" s="66" t="s">
        <v>43</v>
      </c>
      <c r="K79" s="67">
        <f t="shared" si="1"/>
        <v>8</v>
      </c>
      <c r="L79" s="69"/>
    </row>
    <row r="80" s="1" customFormat="1" ht="25" customHeight="1" spans="1:12">
      <c r="A80" s="127"/>
      <c r="B80" s="67"/>
      <c r="C80" s="52" t="s">
        <v>219</v>
      </c>
      <c r="D80" s="52"/>
      <c r="E80" s="52" t="s">
        <v>220</v>
      </c>
      <c r="F80" s="48" t="s">
        <v>220</v>
      </c>
      <c r="G80" s="56" t="s">
        <v>221</v>
      </c>
      <c r="H80" s="57"/>
      <c r="I80" s="54">
        <v>8</v>
      </c>
      <c r="J80" s="66" t="s">
        <v>43</v>
      </c>
      <c r="K80" s="67">
        <f t="shared" si="1"/>
        <v>8</v>
      </c>
      <c r="L80" s="69"/>
    </row>
    <row r="81" s="1" customFormat="1" ht="25" customHeight="1" spans="1:12">
      <c r="A81" s="127"/>
      <c r="B81" s="67"/>
      <c r="C81" s="52" t="s">
        <v>216</v>
      </c>
      <c r="D81" s="52"/>
      <c r="E81" s="52" t="s">
        <v>78</v>
      </c>
      <c r="F81" s="48" t="s">
        <v>78</v>
      </c>
      <c r="G81" s="56" t="s">
        <v>217</v>
      </c>
      <c r="H81" s="57" t="s">
        <v>218</v>
      </c>
      <c r="I81" s="54">
        <v>8</v>
      </c>
      <c r="J81" s="66" t="s">
        <v>43</v>
      </c>
      <c r="K81" s="67">
        <f t="shared" si="1"/>
        <v>8</v>
      </c>
      <c r="L81" s="69"/>
    </row>
    <row r="82" s="1" customFormat="1" ht="25" customHeight="1" spans="1:12">
      <c r="A82" s="127"/>
      <c r="B82" s="67"/>
      <c r="C82" s="52" t="s">
        <v>123</v>
      </c>
      <c r="D82" s="52"/>
      <c r="E82" s="52" t="s">
        <v>123</v>
      </c>
      <c r="F82" s="48" t="s">
        <v>123</v>
      </c>
      <c r="G82" s="56" t="s">
        <v>124</v>
      </c>
      <c r="H82" s="57"/>
      <c r="I82" s="54">
        <v>2</v>
      </c>
      <c r="J82" s="66" t="s">
        <v>43</v>
      </c>
      <c r="K82" s="67">
        <f t="shared" si="1"/>
        <v>2</v>
      </c>
      <c r="L82" s="69"/>
    </row>
    <row r="83" s="1" customFormat="1" ht="25" customHeight="1" spans="1:12">
      <c r="A83" s="127"/>
      <c r="B83" s="67"/>
      <c r="C83" s="52" t="s">
        <v>404</v>
      </c>
      <c r="D83" s="52"/>
      <c r="E83" s="52" t="s">
        <v>405</v>
      </c>
      <c r="F83" s="48" t="s">
        <v>405</v>
      </c>
      <c r="G83" s="56" t="s">
        <v>406</v>
      </c>
      <c r="H83" s="57" t="s">
        <v>407</v>
      </c>
      <c r="I83" s="54">
        <v>8</v>
      </c>
      <c r="J83" s="66" t="s">
        <v>43</v>
      </c>
      <c r="K83" s="67">
        <f t="shared" si="1"/>
        <v>8</v>
      </c>
      <c r="L83" s="70"/>
    </row>
    <row r="84" s="1" customFormat="1" ht="25" customHeight="1" spans="1:12">
      <c r="A84" s="127"/>
      <c r="B84" s="37" t="s">
        <v>744</v>
      </c>
      <c r="C84" s="52" t="s">
        <v>259</v>
      </c>
      <c r="D84" s="52"/>
      <c r="E84" s="52" t="s">
        <v>259</v>
      </c>
      <c r="F84" s="48" t="s">
        <v>259</v>
      </c>
      <c r="G84" s="56" t="s">
        <v>260</v>
      </c>
      <c r="H84" s="57" t="s">
        <v>261</v>
      </c>
      <c r="I84" s="54">
        <v>6</v>
      </c>
      <c r="J84" s="66" t="s">
        <v>43</v>
      </c>
      <c r="K84" s="67">
        <f t="shared" si="1"/>
        <v>6</v>
      </c>
      <c r="L84" s="68">
        <f>SUM(K84:K105)</f>
        <v>98</v>
      </c>
    </row>
    <row r="85" s="1" customFormat="1" ht="25" customHeight="1" spans="1:12">
      <c r="A85" s="127"/>
      <c r="B85" s="69"/>
      <c r="C85" s="52" t="s">
        <v>275</v>
      </c>
      <c r="D85" s="52"/>
      <c r="E85" s="52" t="s">
        <v>275</v>
      </c>
      <c r="F85" s="48" t="s">
        <v>276</v>
      </c>
      <c r="G85" s="56" t="s">
        <v>277</v>
      </c>
      <c r="H85" s="57"/>
      <c r="I85" s="54">
        <v>2</v>
      </c>
      <c r="J85" s="66" t="s">
        <v>43</v>
      </c>
      <c r="K85" s="67">
        <f t="shared" si="1"/>
        <v>2</v>
      </c>
      <c r="L85" s="69"/>
    </row>
    <row r="86" s="1" customFormat="1" ht="25" customHeight="1" spans="1:12">
      <c r="A86" s="127"/>
      <c r="B86" s="69"/>
      <c r="C86" s="52" t="s">
        <v>273</v>
      </c>
      <c r="D86" s="52"/>
      <c r="E86" s="52" t="s">
        <v>273</v>
      </c>
      <c r="F86" s="48" t="s">
        <v>274</v>
      </c>
      <c r="G86" s="21" t="s">
        <v>274</v>
      </c>
      <c r="H86" s="57"/>
      <c r="I86" s="54">
        <v>1</v>
      </c>
      <c r="J86" s="66" t="s">
        <v>43</v>
      </c>
      <c r="K86" s="67">
        <f t="shared" si="1"/>
        <v>1</v>
      </c>
      <c r="L86" s="69"/>
    </row>
    <row r="87" s="1" customFormat="1" ht="25" customHeight="1" spans="1:12">
      <c r="A87" s="127"/>
      <c r="B87" s="69"/>
      <c r="C87" s="52" t="s">
        <v>288</v>
      </c>
      <c r="D87" s="52"/>
      <c r="E87" s="52" t="s">
        <v>288</v>
      </c>
      <c r="F87" s="48" t="s">
        <v>288</v>
      </c>
      <c r="G87" s="56" t="s">
        <v>289</v>
      </c>
      <c r="H87" s="57" t="s">
        <v>745</v>
      </c>
      <c r="I87" s="54">
        <v>5</v>
      </c>
      <c r="J87" s="66" t="s">
        <v>43</v>
      </c>
      <c r="K87" s="67">
        <f t="shared" si="1"/>
        <v>5</v>
      </c>
      <c r="L87" s="69"/>
    </row>
    <row r="88" s="1" customFormat="1" ht="25" customHeight="1" spans="1:12">
      <c r="A88" s="127"/>
      <c r="B88" s="69"/>
      <c r="C88" s="52" t="s">
        <v>256</v>
      </c>
      <c r="D88" s="52"/>
      <c r="E88" s="52" t="s">
        <v>257</v>
      </c>
      <c r="F88" s="48" t="s">
        <v>257</v>
      </c>
      <c r="G88" s="56" t="s">
        <v>258</v>
      </c>
      <c r="H88" s="89"/>
      <c r="I88" s="54">
        <v>10</v>
      </c>
      <c r="J88" s="66" t="s">
        <v>43</v>
      </c>
      <c r="K88" s="67">
        <f t="shared" si="1"/>
        <v>10</v>
      </c>
      <c r="L88" s="69"/>
    </row>
    <row r="89" s="1" customFormat="1" ht="25" customHeight="1" spans="1:12">
      <c r="A89" s="127"/>
      <c r="B89" s="69"/>
      <c r="C89" s="52" t="s">
        <v>278</v>
      </c>
      <c r="D89" s="52"/>
      <c r="E89" s="52" t="s">
        <v>278</v>
      </c>
      <c r="F89" s="48" t="s">
        <v>278</v>
      </c>
      <c r="G89" s="56" t="s">
        <v>279</v>
      </c>
      <c r="H89" s="57" t="s">
        <v>280</v>
      </c>
      <c r="I89" s="54">
        <v>6</v>
      </c>
      <c r="J89" s="66" t="s">
        <v>43</v>
      </c>
      <c r="K89" s="67">
        <f t="shared" si="1"/>
        <v>6</v>
      </c>
      <c r="L89" s="69"/>
    </row>
    <row r="90" s="1" customFormat="1" ht="25" customHeight="1" spans="1:12">
      <c r="A90" s="127"/>
      <c r="B90" s="69"/>
      <c r="C90" s="52" t="s">
        <v>402</v>
      </c>
      <c r="D90" s="52"/>
      <c r="E90" s="52" t="s">
        <v>402</v>
      </c>
      <c r="F90" s="48" t="s">
        <v>402</v>
      </c>
      <c r="G90" s="56" t="s">
        <v>403</v>
      </c>
      <c r="H90" s="57"/>
      <c r="I90" s="54">
        <v>10</v>
      </c>
      <c r="J90" s="66" t="s">
        <v>43</v>
      </c>
      <c r="K90" s="67">
        <f t="shared" si="1"/>
        <v>10</v>
      </c>
      <c r="L90" s="69"/>
    </row>
    <row r="91" s="1" customFormat="1" ht="25" customHeight="1" spans="1:12">
      <c r="A91" s="127"/>
      <c r="B91" s="69"/>
      <c r="C91" s="52" t="s">
        <v>619</v>
      </c>
      <c r="D91" s="52"/>
      <c r="E91" s="52" t="s">
        <v>620</v>
      </c>
      <c r="F91" s="48" t="s">
        <v>620</v>
      </c>
      <c r="G91" s="56" t="s">
        <v>621</v>
      </c>
      <c r="H91" s="57" t="s">
        <v>622</v>
      </c>
      <c r="I91" s="54">
        <v>10</v>
      </c>
      <c r="J91" s="66" t="s">
        <v>43</v>
      </c>
      <c r="K91" s="67">
        <f t="shared" si="1"/>
        <v>10</v>
      </c>
      <c r="L91" s="69"/>
    </row>
    <row r="92" s="1" customFormat="1" ht="25" customHeight="1" spans="1:12">
      <c r="A92" s="127"/>
      <c r="B92" s="69"/>
      <c r="C92" s="52" t="s">
        <v>439</v>
      </c>
      <c r="D92" s="52"/>
      <c r="E92" s="52" t="s">
        <v>439</v>
      </c>
      <c r="F92" s="48" t="s">
        <v>439</v>
      </c>
      <c r="G92" s="21" t="s">
        <v>746</v>
      </c>
      <c r="H92" s="53" t="s">
        <v>747</v>
      </c>
      <c r="I92" s="54">
        <v>10</v>
      </c>
      <c r="J92" s="66" t="s">
        <v>43</v>
      </c>
      <c r="K92" s="67">
        <f t="shared" si="1"/>
        <v>10</v>
      </c>
      <c r="L92" s="69"/>
    </row>
    <row r="93" s="1" customFormat="1" ht="25" customHeight="1" spans="1:12">
      <c r="A93" s="127"/>
      <c r="B93" s="69"/>
      <c r="C93" s="38" t="s">
        <v>300</v>
      </c>
      <c r="D93" s="38"/>
      <c r="E93" s="38" t="s">
        <v>748</v>
      </c>
      <c r="F93" s="48" t="s">
        <v>301</v>
      </c>
      <c r="G93" s="21" t="s">
        <v>302</v>
      </c>
      <c r="H93" s="53" t="s">
        <v>303</v>
      </c>
      <c r="I93" s="48">
        <v>2</v>
      </c>
      <c r="J93" s="66" t="s">
        <v>43</v>
      </c>
      <c r="K93" s="67">
        <f t="shared" si="1"/>
        <v>2</v>
      </c>
      <c r="L93" s="69"/>
    </row>
    <row r="94" s="1" customFormat="1" ht="25" customHeight="1" spans="1:12">
      <c r="A94" s="127"/>
      <c r="B94" s="69"/>
      <c r="C94" s="40"/>
      <c r="D94" s="40"/>
      <c r="E94" s="40"/>
      <c r="F94" s="48" t="s">
        <v>305</v>
      </c>
      <c r="G94" s="21" t="s">
        <v>306</v>
      </c>
      <c r="H94" s="57"/>
      <c r="I94" s="48">
        <v>5</v>
      </c>
      <c r="J94" s="66" t="s">
        <v>43</v>
      </c>
      <c r="K94" s="67">
        <f t="shared" si="1"/>
        <v>5</v>
      </c>
      <c r="L94" s="69"/>
    </row>
    <row r="95" s="1" customFormat="1" ht="25" customHeight="1" spans="1:12">
      <c r="A95" s="127"/>
      <c r="B95" s="69"/>
      <c r="C95" s="40"/>
      <c r="D95" s="40"/>
      <c r="E95" s="40"/>
      <c r="F95" s="48" t="s">
        <v>307</v>
      </c>
      <c r="G95" s="21" t="s">
        <v>308</v>
      </c>
      <c r="H95" s="57"/>
      <c r="I95" s="48">
        <v>5</v>
      </c>
      <c r="J95" s="66" t="s">
        <v>43</v>
      </c>
      <c r="K95" s="67">
        <f t="shared" si="1"/>
        <v>5</v>
      </c>
      <c r="L95" s="69"/>
    </row>
    <row r="96" s="1" customFormat="1" ht="25" customHeight="1" spans="1:12">
      <c r="A96" s="127"/>
      <c r="B96" s="69"/>
      <c r="C96" s="40"/>
      <c r="D96" s="40"/>
      <c r="E96" s="40"/>
      <c r="F96" s="48" t="s">
        <v>309</v>
      </c>
      <c r="G96" s="21" t="s">
        <v>310</v>
      </c>
      <c r="H96" s="57"/>
      <c r="I96" s="48">
        <v>3</v>
      </c>
      <c r="J96" s="66" t="s">
        <v>43</v>
      </c>
      <c r="K96" s="67">
        <f t="shared" si="1"/>
        <v>3</v>
      </c>
      <c r="L96" s="69"/>
    </row>
    <row r="97" s="1" customFormat="1" ht="25" customHeight="1" spans="1:12">
      <c r="A97" s="127"/>
      <c r="B97" s="69"/>
      <c r="C97" s="90"/>
      <c r="D97" s="90"/>
      <c r="E97" s="90"/>
      <c r="F97" s="48" t="s">
        <v>311</v>
      </c>
      <c r="G97" s="21" t="s">
        <v>312</v>
      </c>
      <c r="H97" s="57"/>
      <c r="I97" s="48">
        <v>5</v>
      </c>
      <c r="J97" s="66" t="s">
        <v>43</v>
      </c>
      <c r="K97" s="67">
        <f t="shared" si="1"/>
        <v>5</v>
      </c>
      <c r="L97" s="69"/>
    </row>
    <row r="98" s="1" customFormat="1" ht="25" customHeight="1" spans="1:12">
      <c r="A98" s="127"/>
      <c r="B98" s="69"/>
      <c r="C98" s="38" t="s">
        <v>313</v>
      </c>
      <c r="D98" s="38"/>
      <c r="E98" s="38" t="s">
        <v>749</v>
      </c>
      <c r="F98" s="48" t="s">
        <v>314</v>
      </c>
      <c r="G98" s="21" t="s">
        <v>315</v>
      </c>
      <c r="H98" s="57"/>
      <c r="I98" s="48">
        <v>1</v>
      </c>
      <c r="J98" s="66" t="s">
        <v>43</v>
      </c>
      <c r="K98" s="67">
        <f t="shared" si="1"/>
        <v>1</v>
      </c>
      <c r="L98" s="69"/>
    </row>
    <row r="99" s="1" customFormat="1" ht="25" customHeight="1" spans="1:12">
      <c r="A99" s="127"/>
      <c r="B99" s="69"/>
      <c r="C99" s="40"/>
      <c r="D99" s="40"/>
      <c r="E99" s="40"/>
      <c r="F99" s="48" t="s">
        <v>317</v>
      </c>
      <c r="G99" s="21" t="s">
        <v>318</v>
      </c>
      <c r="H99" s="57"/>
      <c r="I99" s="48">
        <v>3</v>
      </c>
      <c r="J99" s="66" t="s">
        <v>43</v>
      </c>
      <c r="K99" s="67">
        <f t="shared" si="1"/>
        <v>3</v>
      </c>
      <c r="L99" s="69"/>
    </row>
    <row r="100" s="1" customFormat="1" ht="25" customHeight="1" spans="1:12">
      <c r="A100" s="127"/>
      <c r="B100" s="69"/>
      <c r="C100" s="40"/>
      <c r="D100" s="40"/>
      <c r="E100" s="40"/>
      <c r="F100" s="48" t="s">
        <v>319</v>
      </c>
      <c r="G100" s="21" t="s">
        <v>320</v>
      </c>
      <c r="H100" s="57"/>
      <c r="I100" s="48">
        <v>3</v>
      </c>
      <c r="J100" s="66" t="s">
        <v>43</v>
      </c>
      <c r="K100" s="67">
        <f t="shared" si="1"/>
        <v>3</v>
      </c>
      <c r="L100" s="69"/>
    </row>
    <row r="101" s="1" customFormat="1" ht="25" customHeight="1" spans="1:12">
      <c r="A101" s="127"/>
      <c r="B101" s="69"/>
      <c r="C101" s="90"/>
      <c r="D101" s="90"/>
      <c r="E101" s="90"/>
      <c r="F101" s="48" t="s">
        <v>321</v>
      </c>
      <c r="G101" s="21" t="s">
        <v>322</v>
      </c>
      <c r="H101" s="57"/>
      <c r="I101" s="48">
        <v>3</v>
      </c>
      <c r="J101" s="66" t="s">
        <v>43</v>
      </c>
      <c r="K101" s="67">
        <f t="shared" si="1"/>
        <v>3</v>
      </c>
      <c r="L101" s="69"/>
    </row>
    <row r="102" s="1" customFormat="1" ht="25" customHeight="1" spans="1:12">
      <c r="A102" s="127"/>
      <c r="B102" s="69"/>
      <c r="C102" s="91" t="s">
        <v>323</v>
      </c>
      <c r="D102" s="91"/>
      <c r="E102" s="91" t="s">
        <v>323</v>
      </c>
      <c r="F102" s="48" t="s">
        <v>314</v>
      </c>
      <c r="G102" s="21" t="s">
        <v>324</v>
      </c>
      <c r="H102" s="57"/>
      <c r="I102" s="48">
        <v>2</v>
      </c>
      <c r="J102" s="66" t="s">
        <v>43</v>
      </c>
      <c r="K102" s="67">
        <f t="shared" si="1"/>
        <v>2</v>
      </c>
      <c r="L102" s="69"/>
    </row>
    <row r="103" s="1" customFormat="1" ht="25" customHeight="1" spans="1:12">
      <c r="A103" s="127"/>
      <c r="B103" s="69"/>
      <c r="C103" s="40"/>
      <c r="D103" s="40"/>
      <c r="E103" s="40"/>
      <c r="F103" s="48" t="s">
        <v>326</v>
      </c>
      <c r="G103" s="21" t="s">
        <v>327</v>
      </c>
      <c r="H103" s="57"/>
      <c r="I103" s="48">
        <v>1</v>
      </c>
      <c r="J103" s="66" t="s">
        <v>43</v>
      </c>
      <c r="K103" s="67">
        <f t="shared" si="1"/>
        <v>1</v>
      </c>
      <c r="L103" s="69"/>
    </row>
    <row r="104" s="1" customFormat="1" ht="25" customHeight="1" spans="1:12">
      <c r="A104" s="127"/>
      <c r="B104" s="69"/>
      <c r="C104" s="40"/>
      <c r="D104" s="40"/>
      <c r="E104" s="40"/>
      <c r="F104" s="48" t="s">
        <v>328</v>
      </c>
      <c r="G104" s="21" t="s">
        <v>329</v>
      </c>
      <c r="H104" s="57"/>
      <c r="I104" s="48">
        <v>3</v>
      </c>
      <c r="J104" s="66" t="s">
        <v>43</v>
      </c>
      <c r="K104" s="67">
        <f t="shared" si="1"/>
        <v>3</v>
      </c>
      <c r="L104" s="69"/>
    </row>
    <row r="105" s="1" customFormat="1" ht="25" customHeight="1" spans="1:12">
      <c r="A105" s="127"/>
      <c r="B105" s="70"/>
      <c r="C105" s="90"/>
      <c r="D105" s="90"/>
      <c r="E105" s="90"/>
      <c r="F105" s="48" t="s">
        <v>330</v>
      </c>
      <c r="G105" s="21" t="s">
        <v>331</v>
      </c>
      <c r="H105" s="53"/>
      <c r="I105" s="48">
        <v>2</v>
      </c>
      <c r="J105" s="66" t="s">
        <v>43</v>
      </c>
      <c r="K105" s="67">
        <f t="shared" si="1"/>
        <v>2</v>
      </c>
      <c r="L105" s="70"/>
    </row>
    <row r="106" s="1" customFormat="1" ht="25" customHeight="1" spans="1:12">
      <c r="A106" s="124"/>
      <c r="B106" s="102" t="s">
        <v>750</v>
      </c>
      <c r="C106" s="52" t="s">
        <v>350</v>
      </c>
      <c r="D106" s="52"/>
      <c r="E106" s="52" t="s">
        <v>350</v>
      </c>
      <c r="F106" s="48" t="s">
        <v>350</v>
      </c>
      <c r="G106" s="56" t="s">
        <v>351</v>
      </c>
      <c r="H106" s="57" t="s">
        <v>352</v>
      </c>
      <c r="I106" s="54">
        <v>15</v>
      </c>
      <c r="J106" s="66" t="s">
        <v>43</v>
      </c>
      <c r="K106" s="67">
        <f t="shared" si="1"/>
        <v>15</v>
      </c>
      <c r="L106" s="68">
        <f>SUM(K106:K107)</f>
        <v>30</v>
      </c>
    </row>
    <row r="107" s="1" customFormat="1" ht="25" customHeight="1" spans="1:12">
      <c r="A107" s="124"/>
      <c r="B107" s="67"/>
      <c r="C107" s="52" t="s">
        <v>376</v>
      </c>
      <c r="D107" s="52"/>
      <c r="E107" s="52" t="s">
        <v>376</v>
      </c>
      <c r="F107" s="48" t="s">
        <v>376</v>
      </c>
      <c r="G107" s="21" t="s">
        <v>377</v>
      </c>
      <c r="H107" s="53" t="s">
        <v>751</v>
      </c>
      <c r="I107" s="54">
        <v>15</v>
      </c>
      <c r="J107" s="66" t="s">
        <v>43</v>
      </c>
      <c r="K107" s="67">
        <f t="shared" si="1"/>
        <v>15</v>
      </c>
      <c r="L107" s="70"/>
    </row>
    <row r="108" s="1" customFormat="1" ht="25" customHeight="1" spans="1:12">
      <c r="A108" s="127"/>
      <c r="B108" s="102" t="s">
        <v>443</v>
      </c>
      <c r="C108" s="52" t="s">
        <v>444</v>
      </c>
      <c r="D108" s="52"/>
      <c r="E108" s="52" t="s">
        <v>444</v>
      </c>
      <c r="F108" s="48" t="s">
        <v>445</v>
      </c>
      <c r="G108" s="21" t="s">
        <v>445</v>
      </c>
      <c r="H108" s="57" t="s">
        <v>446</v>
      </c>
      <c r="I108" s="54">
        <v>30</v>
      </c>
      <c r="J108" s="66" t="s">
        <v>43</v>
      </c>
      <c r="K108" s="67">
        <f t="shared" si="1"/>
        <v>30</v>
      </c>
      <c r="L108" s="68">
        <f>SUM(K108:K109)</f>
        <v>50</v>
      </c>
    </row>
    <row r="109" s="1" customFormat="1" ht="25" customHeight="1" spans="1:12">
      <c r="A109" s="127"/>
      <c r="B109" s="67"/>
      <c r="C109" s="52" t="s">
        <v>447</v>
      </c>
      <c r="D109" s="52"/>
      <c r="E109" s="52" t="s">
        <v>447</v>
      </c>
      <c r="F109" s="48" t="s">
        <v>447</v>
      </c>
      <c r="G109" s="56" t="s">
        <v>448</v>
      </c>
      <c r="H109" s="57" t="s">
        <v>449</v>
      </c>
      <c r="I109" s="54">
        <v>20</v>
      </c>
      <c r="J109" s="66" t="s">
        <v>43</v>
      </c>
      <c r="K109" s="67">
        <f t="shared" si="1"/>
        <v>20</v>
      </c>
      <c r="L109" s="70"/>
    </row>
    <row r="110" s="1" customFormat="1" ht="25" customHeight="1" spans="1:12">
      <c r="A110" s="127"/>
      <c r="B110" s="102" t="s">
        <v>752</v>
      </c>
      <c r="C110" s="93" t="s">
        <v>408</v>
      </c>
      <c r="D110" s="87"/>
      <c r="E110" s="52" t="s">
        <v>431</v>
      </c>
      <c r="F110" s="48" t="s">
        <v>431</v>
      </c>
      <c r="G110" s="21" t="s">
        <v>432</v>
      </c>
      <c r="H110" s="57" t="s">
        <v>433</v>
      </c>
      <c r="I110" s="54">
        <v>6</v>
      </c>
      <c r="J110" s="66" t="s">
        <v>43</v>
      </c>
      <c r="K110" s="67">
        <f t="shared" si="1"/>
        <v>6</v>
      </c>
      <c r="L110" s="68">
        <f>SUM(K110:K119)</f>
        <v>87</v>
      </c>
    </row>
    <row r="111" s="1" customFormat="1" ht="25" customHeight="1" spans="1:12">
      <c r="A111" s="127"/>
      <c r="B111" s="67"/>
      <c r="C111" s="92"/>
      <c r="D111" s="40"/>
      <c r="E111" s="52" t="s">
        <v>81</v>
      </c>
      <c r="F111" s="48" t="s">
        <v>82</v>
      </c>
      <c r="G111" s="56" t="s">
        <v>83</v>
      </c>
      <c r="H111" s="57" t="s">
        <v>84</v>
      </c>
      <c r="I111" s="48">
        <v>6</v>
      </c>
      <c r="J111" s="66" t="s">
        <v>43</v>
      </c>
      <c r="K111" s="67">
        <f t="shared" si="1"/>
        <v>6</v>
      </c>
      <c r="L111" s="69"/>
    </row>
    <row r="112" s="1" customFormat="1" ht="25" customHeight="1" spans="1:12">
      <c r="A112" s="127"/>
      <c r="B112" s="67"/>
      <c r="C112" s="92"/>
      <c r="D112" s="40"/>
      <c r="E112" s="52" t="s">
        <v>409</v>
      </c>
      <c r="F112" s="48" t="s">
        <v>409</v>
      </c>
      <c r="G112" s="56" t="s">
        <v>410</v>
      </c>
      <c r="H112" s="57"/>
      <c r="I112" s="54">
        <v>6</v>
      </c>
      <c r="J112" s="66" t="s">
        <v>43</v>
      </c>
      <c r="K112" s="67">
        <f t="shared" si="1"/>
        <v>6</v>
      </c>
      <c r="L112" s="69"/>
    </row>
    <row r="113" s="1" customFormat="1" ht="25" customHeight="1" spans="1:12">
      <c r="A113" s="127"/>
      <c r="B113" s="67"/>
      <c r="C113" s="92"/>
      <c r="D113" s="40"/>
      <c r="E113" s="52" t="s">
        <v>411</v>
      </c>
      <c r="F113" s="48" t="s">
        <v>412</v>
      </c>
      <c r="G113" s="56" t="s">
        <v>413</v>
      </c>
      <c r="H113" s="57" t="s">
        <v>414</v>
      </c>
      <c r="I113" s="54">
        <v>6</v>
      </c>
      <c r="J113" s="66" t="s">
        <v>43</v>
      </c>
      <c r="K113" s="67">
        <f t="shared" si="1"/>
        <v>6</v>
      </c>
      <c r="L113" s="69"/>
    </row>
    <row r="114" s="1" customFormat="1" ht="25" customHeight="1" spans="1:12">
      <c r="A114" s="127"/>
      <c r="B114" s="67"/>
      <c r="C114" s="92"/>
      <c r="D114" s="40"/>
      <c r="E114" s="52" t="s">
        <v>415</v>
      </c>
      <c r="F114" s="48" t="s">
        <v>753</v>
      </c>
      <c r="G114" s="56" t="s">
        <v>417</v>
      </c>
      <c r="H114" s="57" t="s">
        <v>418</v>
      </c>
      <c r="I114" s="54">
        <v>6</v>
      </c>
      <c r="J114" s="66" t="s">
        <v>43</v>
      </c>
      <c r="K114" s="67">
        <f t="shared" si="1"/>
        <v>6</v>
      </c>
      <c r="L114" s="69"/>
    </row>
    <row r="115" s="1" customFormat="1" ht="25" customHeight="1" spans="1:12">
      <c r="A115" s="127"/>
      <c r="B115" s="67"/>
      <c r="C115" s="92"/>
      <c r="D115" s="40"/>
      <c r="E115" s="52" t="s">
        <v>419</v>
      </c>
      <c r="F115" s="86" t="s">
        <v>754</v>
      </c>
      <c r="G115" s="59" t="s">
        <v>421</v>
      </c>
      <c r="H115" s="60" t="s">
        <v>422</v>
      </c>
      <c r="I115" s="58">
        <v>15</v>
      </c>
      <c r="J115" s="66" t="s">
        <v>43</v>
      </c>
      <c r="K115" s="67">
        <f t="shared" si="1"/>
        <v>15</v>
      </c>
      <c r="L115" s="69"/>
    </row>
    <row r="116" s="1" customFormat="1" ht="25" customHeight="1" spans="1:12">
      <c r="A116" s="127"/>
      <c r="B116" s="67"/>
      <c r="C116" s="92"/>
      <c r="D116" s="40"/>
      <c r="E116" s="52" t="s">
        <v>423</v>
      </c>
      <c r="F116" s="86" t="s">
        <v>423</v>
      </c>
      <c r="G116" s="59" t="s">
        <v>425</v>
      </c>
      <c r="H116" s="60" t="s">
        <v>426</v>
      </c>
      <c r="I116" s="58">
        <v>15</v>
      </c>
      <c r="J116" s="66" t="s">
        <v>43</v>
      </c>
      <c r="K116" s="67">
        <f t="shared" si="1"/>
        <v>15</v>
      </c>
      <c r="L116" s="69"/>
    </row>
    <row r="117" s="1" customFormat="1" ht="25" customHeight="1" spans="1:12">
      <c r="A117" s="127"/>
      <c r="B117" s="67"/>
      <c r="C117" s="92"/>
      <c r="D117" s="40"/>
      <c r="E117" s="52" t="s">
        <v>427</v>
      </c>
      <c r="F117" s="48" t="s">
        <v>428</v>
      </c>
      <c r="G117" s="56" t="s">
        <v>429</v>
      </c>
      <c r="H117" s="57" t="s">
        <v>430</v>
      </c>
      <c r="I117" s="54">
        <v>10</v>
      </c>
      <c r="J117" s="66" t="s">
        <v>43</v>
      </c>
      <c r="K117" s="67">
        <f t="shared" si="1"/>
        <v>10</v>
      </c>
      <c r="L117" s="69"/>
    </row>
    <row r="118" s="1" customFormat="1" ht="25" customHeight="1" spans="1:12">
      <c r="A118" s="127"/>
      <c r="B118" s="67"/>
      <c r="C118" s="92"/>
      <c r="D118" s="40"/>
      <c r="E118" s="52" t="s">
        <v>758</v>
      </c>
      <c r="F118" s="48" t="s">
        <v>758</v>
      </c>
      <c r="G118" s="21" t="s">
        <v>759</v>
      </c>
      <c r="H118" s="53" t="s">
        <v>760</v>
      </c>
      <c r="I118" s="48">
        <v>5</v>
      </c>
      <c r="J118" s="66" t="s">
        <v>43</v>
      </c>
      <c r="K118" s="67">
        <f t="shared" si="1"/>
        <v>5</v>
      </c>
      <c r="L118" s="69"/>
    </row>
    <row r="119" s="1" customFormat="1" ht="25" customHeight="1" spans="1:12">
      <c r="A119" s="127"/>
      <c r="B119" s="67"/>
      <c r="C119" s="92"/>
      <c r="D119" s="40"/>
      <c r="E119" s="52" t="s">
        <v>85</v>
      </c>
      <c r="F119" s="48" t="s">
        <v>85</v>
      </c>
      <c r="G119" s="56" t="s">
        <v>86</v>
      </c>
      <c r="H119" s="57" t="s">
        <v>87</v>
      </c>
      <c r="I119" s="54">
        <v>12</v>
      </c>
      <c r="J119" s="66" t="s">
        <v>43</v>
      </c>
      <c r="K119" s="67">
        <f t="shared" si="1"/>
        <v>12</v>
      </c>
      <c r="L119" s="69"/>
    </row>
    <row r="120" s="1" customFormat="1" ht="17.25" customHeight="1" spans="1:12">
      <c r="A120" s="127"/>
      <c r="B120" s="67"/>
      <c r="C120" s="93" t="s">
        <v>453</v>
      </c>
      <c r="D120" s="87"/>
      <c r="E120" s="52" t="s">
        <v>454</v>
      </c>
      <c r="F120" s="48" t="s">
        <v>454</v>
      </c>
      <c r="G120" s="56" t="s">
        <v>455</v>
      </c>
      <c r="H120" s="57" t="s">
        <v>456</v>
      </c>
      <c r="I120" s="54">
        <v>6</v>
      </c>
      <c r="J120" s="66" t="s">
        <v>43</v>
      </c>
      <c r="K120" s="67">
        <f t="shared" si="1"/>
        <v>6</v>
      </c>
      <c r="L120" s="68">
        <f>SUM(K120:K144)</f>
        <v>169</v>
      </c>
    </row>
    <row r="121" s="1" customFormat="1" ht="17.25" customHeight="1" spans="1:12">
      <c r="A121" s="127"/>
      <c r="B121" s="67"/>
      <c r="C121" s="92"/>
      <c r="D121" s="40"/>
      <c r="E121" s="52" t="s">
        <v>458</v>
      </c>
      <c r="F121" s="86" t="s">
        <v>458</v>
      </c>
      <c r="G121" s="59" t="s">
        <v>459</v>
      </c>
      <c r="H121" s="60" t="s">
        <v>460</v>
      </c>
      <c r="I121" s="58">
        <v>12</v>
      </c>
      <c r="J121" s="66" t="s">
        <v>43</v>
      </c>
      <c r="K121" s="67">
        <f t="shared" si="1"/>
        <v>12</v>
      </c>
      <c r="L121" s="69"/>
    </row>
    <row r="122" s="1" customFormat="1" ht="25" customHeight="1" spans="1:12">
      <c r="A122" s="127"/>
      <c r="B122" s="67"/>
      <c r="C122" s="92"/>
      <c r="D122" s="40"/>
      <c r="E122" s="52" t="s">
        <v>462</v>
      </c>
      <c r="F122" s="86" t="s">
        <v>462</v>
      </c>
      <c r="G122" s="59" t="s">
        <v>463</v>
      </c>
      <c r="H122" s="60" t="s">
        <v>464</v>
      </c>
      <c r="I122" s="58">
        <v>6</v>
      </c>
      <c r="J122" s="66" t="s">
        <v>43</v>
      </c>
      <c r="K122" s="67">
        <f t="shared" si="1"/>
        <v>6</v>
      </c>
      <c r="L122" s="69"/>
    </row>
    <row r="123" s="1" customFormat="1" ht="25" customHeight="1" spans="1:12">
      <c r="A123" s="127"/>
      <c r="B123" s="67"/>
      <c r="C123" s="92"/>
      <c r="D123" s="40"/>
      <c r="E123" s="52" t="s">
        <v>466</v>
      </c>
      <c r="F123" s="86" t="s">
        <v>466</v>
      </c>
      <c r="G123" s="59" t="s">
        <v>467</v>
      </c>
      <c r="H123" s="60" t="s">
        <v>468</v>
      </c>
      <c r="I123" s="58">
        <v>10</v>
      </c>
      <c r="J123" s="66" t="s">
        <v>43</v>
      </c>
      <c r="K123" s="67">
        <f t="shared" si="1"/>
        <v>10</v>
      </c>
      <c r="L123" s="69"/>
    </row>
    <row r="124" s="1" customFormat="1" ht="17.25" customHeight="1" spans="1:12">
      <c r="A124" s="127"/>
      <c r="B124" s="67"/>
      <c r="C124" s="92"/>
      <c r="D124" s="40"/>
      <c r="E124" s="52" t="s">
        <v>470</v>
      </c>
      <c r="F124" s="48" t="s">
        <v>470</v>
      </c>
      <c r="G124" s="56" t="s">
        <v>762</v>
      </c>
      <c r="H124" s="57" t="s">
        <v>763</v>
      </c>
      <c r="I124" s="48">
        <v>9</v>
      </c>
      <c r="J124" s="66" t="s">
        <v>43</v>
      </c>
      <c r="K124" s="67">
        <f t="shared" si="1"/>
        <v>9</v>
      </c>
      <c r="L124" s="69"/>
    </row>
    <row r="125" s="1" customFormat="1" ht="17.25" customHeight="1" spans="1:12">
      <c r="A125" s="127"/>
      <c r="B125" s="67"/>
      <c r="C125" s="92"/>
      <c r="D125" s="40"/>
      <c r="E125" s="52" t="s">
        <v>496</v>
      </c>
      <c r="F125" s="48" t="s">
        <v>497</v>
      </c>
      <c r="G125" s="56" t="s">
        <v>498</v>
      </c>
      <c r="H125" s="57" t="s">
        <v>499</v>
      </c>
      <c r="I125" s="54">
        <v>3</v>
      </c>
      <c r="J125" s="66" t="s">
        <v>43</v>
      </c>
      <c r="K125" s="67">
        <f t="shared" si="1"/>
        <v>3</v>
      </c>
      <c r="L125" s="69"/>
    </row>
    <row r="126" s="1" customFormat="1" ht="17.25" customHeight="1" spans="1:12">
      <c r="A126" s="127"/>
      <c r="B126" s="67"/>
      <c r="C126" s="92"/>
      <c r="D126" s="40"/>
      <c r="E126" s="52" t="s">
        <v>764</v>
      </c>
      <c r="F126" s="48" t="s">
        <v>765</v>
      </c>
      <c r="G126" s="56" t="s">
        <v>766</v>
      </c>
      <c r="H126" s="57" t="s">
        <v>767</v>
      </c>
      <c r="I126" s="54">
        <v>10</v>
      </c>
      <c r="J126" s="66" t="s">
        <v>43</v>
      </c>
      <c r="K126" s="67">
        <f t="shared" si="1"/>
        <v>10</v>
      </c>
      <c r="L126" s="69"/>
    </row>
    <row r="127" s="1" customFormat="1" ht="17.25" customHeight="1" spans="1:12">
      <c r="A127" s="127"/>
      <c r="B127" s="67"/>
      <c r="C127" s="92"/>
      <c r="D127" s="40"/>
      <c r="E127" s="52" t="s">
        <v>768</v>
      </c>
      <c r="F127" s="48" t="s">
        <v>768</v>
      </c>
      <c r="G127" s="56" t="s">
        <v>769</v>
      </c>
      <c r="H127" s="57"/>
      <c r="I127" s="54">
        <v>8</v>
      </c>
      <c r="J127" s="66" t="s">
        <v>43</v>
      </c>
      <c r="K127" s="67">
        <f t="shared" si="1"/>
        <v>8</v>
      </c>
      <c r="L127" s="69"/>
    </row>
    <row r="128" s="1" customFormat="1" ht="17.25" customHeight="1" spans="1:12">
      <c r="A128" s="127"/>
      <c r="B128" s="67"/>
      <c r="C128" s="92"/>
      <c r="D128" s="40"/>
      <c r="E128" s="52" t="s">
        <v>770</v>
      </c>
      <c r="F128" s="48" t="s">
        <v>770</v>
      </c>
      <c r="G128" s="56" t="s">
        <v>771</v>
      </c>
      <c r="H128" s="57" t="s">
        <v>476</v>
      </c>
      <c r="I128" s="54">
        <v>6</v>
      </c>
      <c r="J128" s="66" t="s">
        <v>43</v>
      </c>
      <c r="K128" s="67">
        <f t="shared" si="1"/>
        <v>6</v>
      </c>
      <c r="L128" s="69"/>
    </row>
    <row r="129" s="1" customFormat="1" ht="17.25" customHeight="1" spans="1:12">
      <c r="A129" s="127"/>
      <c r="B129" s="67"/>
      <c r="C129" s="92"/>
      <c r="D129" s="40"/>
      <c r="E129" s="52" t="s">
        <v>772</v>
      </c>
      <c r="F129" s="48" t="s">
        <v>772</v>
      </c>
      <c r="G129" s="56" t="s">
        <v>773</v>
      </c>
      <c r="H129" s="57" t="s">
        <v>476</v>
      </c>
      <c r="I129" s="54">
        <v>6</v>
      </c>
      <c r="J129" s="66" t="s">
        <v>43</v>
      </c>
      <c r="K129" s="67">
        <f t="shared" si="1"/>
        <v>6</v>
      </c>
      <c r="L129" s="69"/>
    </row>
    <row r="130" s="1" customFormat="1" ht="17.25" customHeight="1" spans="1:12">
      <c r="A130" s="127"/>
      <c r="B130" s="67"/>
      <c r="C130" s="92"/>
      <c r="D130" s="40"/>
      <c r="E130" s="52" t="s">
        <v>774</v>
      </c>
      <c r="F130" s="48" t="s">
        <v>774</v>
      </c>
      <c r="G130" s="56" t="s">
        <v>775</v>
      </c>
      <c r="H130" s="60" t="s">
        <v>776</v>
      </c>
      <c r="I130" s="54">
        <v>6</v>
      </c>
      <c r="J130" s="66" t="s">
        <v>43</v>
      </c>
      <c r="K130" s="67">
        <f t="shared" si="1"/>
        <v>6</v>
      </c>
      <c r="L130" s="69"/>
    </row>
    <row r="131" s="1" customFormat="1" ht="17.25" customHeight="1" spans="1:12">
      <c r="A131" s="127"/>
      <c r="B131" s="67"/>
      <c r="C131" s="92"/>
      <c r="D131" s="40"/>
      <c r="E131" s="52" t="s">
        <v>777</v>
      </c>
      <c r="F131" s="48" t="s">
        <v>777</v>
      </c>
      <c r="G131" s="56" t="s">
        <v>778</v>
      </c>
      <c r="H131" s="60" t="s">
        <v>776</v>
      </c>
      <c r="I131" s="54">
        <v>6</v>
      </c>
      <c r="J131" s="66" t="s">
        <v>43</v>
      </c>
      <c r="K131" s="67">
        <f t="shared" ref="K131:K194" si="2">IF(J131&lt;&gt;0,I131,0)</f>
        <v>6</v>
      </c>
      <c r="L131" s="69"/>
    </row>
    <row r="132" s="1" customFormat="1" ht="17.25" customHeight="1" spans="1:12">
      <c r="A132" s="127"/>
      <c r="B132" s="67"/>
      <c r="C132" s="92"/>
      <c r="D132" s="40"/>
      <c r="E132" s="52" t="s">
        <v>779</v>
      </c>
      <c r="F132" s="48" t="s">
        <v>779</v>
      </c>
      <c r="G132" s="21" t="s">
        <v>780</v>
      </c>
      <c r="H132" s="53" t="s">
        <v>781</v>
      </c>
      <c r="I132" s="48">
        <v>4</v>
      </c>
      <c r="J132" s="66" t="s">
        <v>43</v>
      </c>
      <c r="K132" s="67">
        <f t="shared" si="2"/>
        <v>4</v>
      </c>
      <c r="L132" s="69"/>
    </row>
    <row r="133" s="1" customFormat="1" ht="17.25" customHeight="1" spans="1:12">
      <c r="A133" s="127"/>
      <c r="B133" s="67"/>
      <c r="C133" s="92"/>
      <c r="D133" s="40"/>
      <c r="E133" s="52" t="s">
        <v>474</v>
      </c>
      <c r="F133" s="48" t="s">
        <v>474</v>
      </c>
      <c r="G133" s="56" t="s">
        <v>475</v>
      </c>
      <c r="H133" s="57" t="s">
        <v>476</v>
      </c>
      <c r="I133" s="54">
        <v>6</v>
      </c>
      <c r="J133" s="66" t="s">
        <v>43</v>
      </c>
      <c r="K133" s="67">
        <f t="shared" si="2"/>
        <v>6</v>
      </c>
      <c r="L133" s="69"/>
    </row>
    <row r="134" s="1" customFormat="1" ht="17.25" customHeight="1" spans="1:12">
      <c r="A134" s="127"/>
      <c r="B134" s="67"/>
      <c r="C134" s="92"/>
      <c r="D134" s="40"/>
      <c r="E134" s="52" t="s">
        <v>477</v>
      </c>
      <c r="F134" s="86" t="s">
        <v>477</v>
      </c>
      <c r="G134" s="59" t="s">
        <v>478</v>
      </c>
      <c r="H134" s="60" t="s">
        <v>479</v>
      </c>
      <c r="I134" s="58">
        <v>6</v>
      </c>
      <c r="J134" s="66" t="s">
        <v>43</v>
      </c>
      <c r="K134" s="67">
        <f t="shared" si="2"/>
        <v>6</v>
      </c>
      <c r="L134" s="69"/>
    </row>
    <row r="135" s="1" customFormat="1" ht="17.25" customHeight="1" spans="1:12">
      <c r="A135" s="127"/>
      <c r="B135" s="67"/>
      <c r="C135" s="92"/>
      <c r="D135" s="40"/>
      <c r="E135" s="52" t="s">
        <v>480</v>
      </c>
      <c r="F135" s="48" t="s">
        <v>481</v>
      </c>
      <c r="G135" s="56" t="s">
        <v>482</v>
      </c>
      <c r="H135" s="57" t="s">
        <v>483</v>
      </c>
      <c r="I135" s="54">
        <v>6</v>
      </c>
      <c r="J135" s="66" t="s">
        <v>43</v>
      </c>
      <c r="K135" s="67">
        <f t="shared" si="2"/>
        <v>6</v>
      </c>
      <c r="L135" s="69"/>
    </row>
    <row r="136" s="1" customFormat="1" ht="17.25" customHeight="1" spans="1:12">
      <c r="A136" s="127"/>
      <c r="B136" s="67"/>
      <c r="C136" s="92"/>
      <c r="D136" s="40"/>
      <c r="E136" s="52" t="s">
        <v>484</v>
      </c>
      <c r="F136" s="86" t="s">
        <v>484</v>
      </c>
      <c r="G136" s="59" t="s">
        <v>485</v>
      </c>
      <c r="H136" s="60" t="s">
        <v>476</v>
      </c>
      <c r="I136" s="58">
        <v>6</v>
      </c>
      <c r="J136" s="66" t="s">
        <v>43</v>
      </c>
      <c r="K136" s="67">
        <f t="shared" si="2"/>
        <v>6</v>
      </c>
      <c r="L136" s="69"/>
    </row>
    <row r="137" s="1" customFormat="1" ht="17.25" customHeight="1" spans="1:12">
      <c r="A137" s="127"/>
      <c r="B137" s="67"/>
      <c r="C137" s="92"/>
      <c r="D137" s="40"/>
      <c r="E137" s="52" t="s">
        <v>486</v>
      </c>
      <c r="F137" s="86" t="s">
        <v>486</v>
      </c>
      <c r="G137" s="59" t="s">
        <v>487</v>
      </c>
      <c r="H137" s="60" t="s">
        <v>476</v>
      </c>
      <c r="I137" s="58">
        <v>6</v>
      </c>
      <c r="J137" s="66" t="s">
        <v>43</v>
      </c>
      <c r="K137" s="67">
        <f t="shared" si="2"/>
        <v>6</v>
      </c>
      <c r="L137" s="69"/>
    </row>
    <row r="138" s="1" customFormat="1" ht="17.25" customHeight="1" spans="1:12">
      <c r="A138" s="127"/>
      <c r="B138" s="67"/>
      <c r="C138" s="92"/>
      <c r="D138" s="40"/>
      <c r="E138" s="52" t="s">
        <v>782</v>
      </c>
      <c r="F138" s="48" t="s">
        <v>782</v>
      </c>
      <c r="G138" s="21" t="s">
        <v>783</v>
      </c>
      <c r="H138" s="60" t="s">
        <v>476</v>
      </c>
      <c r="I138" s="48">
        <v>6</v>
      </c>
      <c r="J138" s="66" t="s">
        <v>43</v>
      </c>
      <c r="K138" s="67">
        <f t="shared" si="2"/>
        <v>6</v>
      </c>
      <c r="L138" s="69"/>
    </row>
    <row r="139" s="1" customFormat="1" ht="17.25" customHeight="1" spans="1:12">
      <c r="A139" s="127"/>
      <c r="B139" s="67"/>
      <c r="C139" s="92"/>
      <c r="D139" s="40"/>
      <c r="E139" s="52" t="s">
        <v>488</v>
      </c>
      <c r="F139" s="48" t="s">
        <v>488</v>
      </c>
      <c r="G139" s="21" t="s">
        <v>784</v>
      </c>
      <c r="H139" s="53"/>
      <c r="I139" s="48">
        <v>6</v>
      </c>
      <c r="J139" s="66" t="s">
        <v>43</v>
      </c>
      <c r="K139" s="67">
        <f t="shared" si="2"/>
        <v>6</v>
      </c>
      <c r="L139" s="69"/>
    </row>
    <row r="140" s="1" customFormat="1" ht="17.25" customHeight="1" spans="1:12">
      <c r="A140" s="127"/>
      <c r="B140" s="67"/>
      <c r="C140" s="92"/>
      <c r="D140" s="40"/>
      <c r="E140" s="52" t="s">
        <v>493</v>
      </c>
      <c r="F140" s="48" t="s">
        <v>493</v>
      </c>
      <c r="G140" s="56" t="s">
        <v>494</v>
      </c>
      <c r="H140" s="57" t="s">
        <v>495</v>
      </c>
      <c r="I140" s="54">
        <v>8</v>
      </c>
      <c r="J140" s="66" t="s">
        <v>43</v>
      </c>
      <c r="K140" s="67">
        <f t="shared" si="2"/>
        <v>8</v>
      </c>
      <c r="L140" s="69"/>
    </row>
    <row r="141" s="1" customFormat="1" ht="25" customHeight="1" spans="1:12">
      <c r="A141" s="127"/>
      <c r="B141" s="67"/>
      <c r="C141" s="92"/>
      <c r="D141" s="40"/>
      <c r="E141" s="52" t="s">
        <v>785</v>
      </c>
      <c r="F141" s="48" t="s">
        <v>785</v>
      </c>
      <c r="G141" s="56"/>
      <c r="H141" s="57" t="s">
        <v>786</v>
      </c>
      <c r="I141" s="54">
        <v>10</v>
      </c>
      <c r="J141" s="66" t="s">
        <v>43</v>
      </c>
      <c r="K141" s="67">
        <f t="shared" si="2"/>
        <v>10</v>
      </c>
      <c r="L141" s="69"/>
    </row>
    <row r="142" s="1" customFormat="1" ht="17.25" customHeight="1" spans="1:12">
      <c r="A142" s="127"/>
      <c r="B142" s="67"/>
      <c r="C142" s="92"/>
      <c r="D142" s="40"/>
      <c r="E142" s="52" t="s">
        <v>490</v>
      </c>
      <c r="F142" s="48" t="s">
        <v>490</v>
      </c>
      <c r="G142" s="56" t="s">
        <v>848</v>
      </c>
      <c r="H142" s="57" t="s">
        <v>492</v>
      </c>
      <c r="I142" s="54">
        <v>8</v>
      </c>
      <c r="J142" s="66" t="s">
        <v>43</v>
      </c>
      <c r="K142" s="67">
        <f t="shared" si="2"/>
        <v>8</v>
      </c>
      <c r="L142" s="69"/>
    </row>
    <row r="143" s="1" customFormat="1" ht="17.25" customHeight="1" spans="1:12">
      <c r="A143" s="127"/>
      <c r="B143" s="67"/>
      <c r="C143" s="92"/>
      <c r="D143" s="40"/>
      <c r="E143" s="52" t="s">
        <v>787</v>
      </c>
      <c r="F143" s="48" t="s">
        <v>787</v>
      </c>
      <c r="G143" s="21" t="s">
        <v>788</v>
      </c>
      <c r="H143" s="53"/>
      <c r="I143" s="48">
        <v>4</v>
      </c>
      <c r="J143" s="66" t="s">
        <v>43</v>
      </c>
      <c r="K143" s="67">
        <f t="shared" si="2"/>
        <v>4</v>
      </c>
      <c r="L143" s="69"/>
    </row>
    <row r="144" s="1" customFormat="1" ht="17.25" customHeight="1" spans="1:12">
      <c r="A144" s="127"/>
      <c r="B144" s="67"/>
      <c r="C144" s="92"/>
      <c r="D144" s="40"/>
      <c r="E144" s="52" t="s">
        <v>789</v>
      </c>
      <c r="F144" s="48" t="s">
        <v>789</v>
      </c>
      <c r="G144" s="21" t="s">
        <v>790</v>
      </c>
      <c r="H144" s="53"/>
      <c r="I144" s="48">
        <v>5</v>
      </c>
      <c r="J144" s="66" t="s">
        <v>43</v>
      </c>
      <c r="K144" s="67">
        <f t="shared" si="2"/>
        <v>5</v>
      </c>
      <c r="L144" s="70"/>
    </row>
    <row r="145" s="1" customFormat="1" ht="25" customHeight="1" spans="1:12">
      <c r="A145" s="127"/>
      <c r="B145" s="67"/>
      <c r="C145" s="93" t="s">
        <v>542</v>
      </c>
      <c r="D145" s="87"/>
      <c r="E145" s="52" t="s">
        <v>543</v>
      </c>
      <c r="F145" s="48" t="s">
        <v>544</v>
      </c>
      <c r="G145" s="56" t="s">
        <v>545</v>
      </c>
      <c r="H145" s="57"/>
      <c r="I145" s="54">
        <v>7</v>
      </c>
      <c r="J145" s="66" t="s">
        <v>43</v>
      </c>
      <c r="K145" s="67">
        <f t="shared" si="2"/>
        <v>7</v>
      </c>
      <c r="L145" s="68">
        <f>SUM(K145:K149)</f>
        <v>29</v>
      </c>
    </row>
    <row r="146" s="1" customFormat="1" ht="25" customHeight="1" spans="1:12">
      <c r="A146" s="127"/>
      <c r="B146" s="67"/>
      <c r="C146" s="92"/>
      <c r="D146" s="40"/>
      <c r="E146" s="52" t="s">
        <v>546</v>
      </c>
      <c r="F146" s="86" t="s">
        <v>547</v>
      </c>
      <c r="G146" s="59" t="s">
        <v>548</v>
      </c>
      <c r="H146" s="60"/>
      <c r="I146" s="58">
        <v>5</v>
      </c>
      <c r="J146" s="66" t="s">
        <v>43</v>
      </c>
      <c r="K146" s="67">
        <f t="shared" si="2"/>
        <v>5</v>
      </c>
      <c r="L146" s="69"/>
    </row>
    <row r="147" s="1" customFormat="1" ht="25" customHeight="1" spans="1:12">
      <c r="A147" s="127"/>
      <c r="B147" s="67"/>
      <c r="C147" s="92"/>
      <c r="D147" s="40"/>
      <c r="E147" s="52" t="s">
        <v>549</v>
      </c>
      <c r="F147" s="48" t="s">
        <v>550</v>
      </c>
      <c r="G147" s="56" t="s">
        <v>551</v>
      </c>
      <c r="H147" s="57"/>
      <c r="I147" s="54">
        <v>7</v>
      </c>
      <c r="J147" s="66" t="s">
        <v>43</v>
      </c>
      <c r="K147" s="67">
        <f t="shared" si="2"/>
        <v>7</v>
      </c>
      <c r="L147" s="69"/>
    </row>
    <row r="148" s="1" customFormat="1" ht="25" customHeight="1" spans="1:12">
      <c r="A148" s="127"/>
      <c r="B148" s="67"/>
      <c r="C148" s="92"/>
      <c r="D148" s="40"/>
      <c r="E148" s="52" t="s">
        <v>552</v>
      </c>
      <c r="F148" s="48" t="s">
        <v>552</v>
      </c>
      <c r="G148" s="21" t="s">
        <v>554</v>
      </c>
      <c r="H148" s="53" t="s">
        <v>555</v>
      </c>
      <c r="I148" s="48">
        <v>3</v>
      </c>
      <c r="J148" s="136" t="s">
        <v>43</v>
      </c>
      <c r="K148" s="67">
        <f t="shared" si="2"/>
        <v>3</v>
      </c>
      <c r="L148" s="69"/>
    </row>
    <row r="149" s="1" customFormat="1" ht="25" customHeight="1" spans="1:12">
      <c r="A149" s="127"/>
      <c r="B149" s="67"/>
      <c r="C149" s="126"/>
      <c r="D149" s="90"/>
      <c r="E149" s="52" t="s">
        <v>556</v>
      </c>
      <c r="F149" s="86" t="s">
        <v>557</v>
      </c>
      <c r="G149" s="59" t="s">
        <v>558</v>
      </c>
      <c r="H149" s="60"/>
      <c r="I149" s="58">
        <v>7</v>
      </c>
      <c r="J149" s="66" t="s">
        <v>43</v>
      </c>
      <c r="K149" s="67">
        <f t="shared" si="2"/>
        <v>7</v>
      </c>
      <c r="L149" s="70"/>
    </row>
    <row r="150" ht="25" customHeight="1" spans="1:12">
      <c r="A150" s="127"/>
      <c r="B150" s="67"/>
      <c r="C150" s="93" t="s">
        <v>791</v>
      </c>
      <c r="D150" s="92"/>
      <c r="E150" s="52" t="s">
        <v>792</v>
      </c>
      <c r="F150" s="48" t="s">
        <v>560</v>
      </c>
      <c r="G150" s="21" t="s">
        <v>561</v>
      </c>
      <c r="H150" s="53"/>
      <c r="I150" s="48">
        <v>5</v>
      </c>
      <c r="J150" s="66" t="s">
        <v>43</v>
      </c>
      <c r="K150" s="67">
        <f t="shared" si="2"/>
        <v>5</v>
      </c>
      <c r="L150" s="68">
        <f>SUM(K150:K151)</f>
        <v>5</v>
      </c>
    </row>
    <row r="151" ht="25" customHeight="1" spans="1:12">
      <c r="A151" s="127"/>
      <c r="B151" s="67"/>
      <c r="C151" s="126"/>
      <c r="D151" s="92"/>
      <c r="E151" s="52" t="s">
        <v>793</v>
      </c>
      <c r="F151" s="94"/>
      <c r="G151" s="95"/>
      <c r="H151" s="53" t="s">
        <v>564</v>
      </c>
      <c r="I151" s="48">
        <v>0</v>
      </c>
      <c r="J151" s="66" t="s">
        <v>43</v>
      </c>
      <c r="K151" s="67">
        <f t="shared" si="2"/>
        <v>0</v>
      </c>
      <c r="L151" s="70"/>
    </row>
    <row r="152" s="1" customFormat="1" ht="25" customHeight="1" spans="1:12">
      <c r="A152" s="127"/>
      <c r="B152" s="67"/>
      <c r="C152" s="93" t="s">
        <v>509</v>
      </c>
      <c r="D152" s="87"/>
      <c r="E152" s="52" t="s">
        <v>515</v>
      </c>
      <c r="F152" s="48" t="s">
        <v>516</v>
      </c>
      <c r="G152" s="56" t="s">
        <v>517</v>
      </c>
      <c r="H152" s="57"/>
      <c r="I152" s="54">
        <v>5</v>
      </c>
      <c r="J152" s="66" t="s">
        <v>43</v>
      </c>
      <c r="K152" s="67">
        <f t="shared" si="2"/>
        <v>5</v>
      </c>
      <c r="L152" s="68">
        <f>SUM(K152:K161)</f>
        <v>69</v>
      </c>
    </row>
    <row r="153" s="1" customFormat="1" ht="25" customHeight="1" spans="1:12">
      <c r="A153" s="127"/>
      <c r="B153" s="67"/>
      <c r="C153" s="92"/>
      <c r="D153" s="40"/>
      <c r="E153" s="52" t="s">
        <v>518</v>
      </c>
      <c r="F153" s="86" t="s">
        <v>516</v>
      </c>
      <c r="G153" s="59" t="s">
        <v>519</v>
      </c>
      <c r="H153" s="60"/>
      <c r="I153" s="58">
        <v>8</v>
      </c>
      <c r="J153" s="66" t="s">
        <v>43</v>
      </c>
      <c r="K153" s="67">
        <f t="shared" si="2"/>
        <v>8</v>
      </c>
      <c r="L153" s="69"/>
    </row>
    <row r="154" s="1" customFormat="1" ht="25" customHeight="1" spans="1:12">
      <c r="A154" s="127"/>
      <c r="B154" s="67"/>
      <c r="C154" s="92"/>
      <c r="D154" s="40"/>
      <c r="E154" s="52" t="s">
        <v>520</v>
      </c>
      <c r="F154" s="86" t="s">
        <v>521</v>
      </c>
      <c r="G154" s="59" t="s">
        <v>522</v>
      </c>
      <c r="H154" s="60"/>
      <c r="I154" s="58">
        <v>8</v>
      </c>
      <c r="J154" s="66" t="s">
        <v>43</v>
      </c>
      <c r="K154" s="67">
        <f t="shared" si="2"/>
        <v>8</v>
      </c>
      <c r="L154" s="69"/>
    </row>
    <row r="155" s="1" customFormat="1" ht="25" customHeight="1" spans="1:12">
      <c r="A155" s="127"/>
      <c r="B155" s="67"/>
      <c r="C155" s="92"/>
      <c r="D155" s="40"/>
      <c r="E155" s="52" t="s">
        <v>523</v>
      </c>
      <c r="F155" s="86" t="s">
        <v>524</v>
      </c>
      <c r="G155" s="59" t="s">
        <v>525</v>
      </c>
      <c r="H155" s="60" t="s">
        <v>526</v>
      </c>
      <c r="I155" s="58">
        <v>3</v>
      </c>
      <c r="J155" s="66" t="s">
        <v>43</v>
      </c>
      <c r="K155" s="67">
        <f t="shared" si="2"/>
        <v>3</v>
      </c>
      <c r="L155" s="69"/>
    </row>
    <row r="156" s="1" customFormat="1" ht="25" customHeight="1" spans="1:12">
      <c r="A156" s="127"/>
      <c r="B156" s="67"/>
      <c r="C156" s="92"/>
      <c r="D156" s="40"/>
      <c r="E156" s="52" t="s">
        <v>527</v>
      </c>
      <c r="F156" s="86" t="s">
        <v>528</v>
      </c>
      <c r="G156" s="59" t="s">
        <v>529</v>
      </c>
      <c r="H156" s="60"/>
      <c r="I156" s="58">
        <v>8</v>
      </c>
      <c r="J156" s="66" t="s">
        <v>43</v>
      </c>
      <c r="K156" s="67">
        <f t="shared" si="2"/>
        <v>8</v>
      </c>
      <c r="L156" s="69"/>
    </row>
    <row r="157" s="1" customFormat="1" ht="25" customHeight="1" spans="1:12">
      <c r="A157" s="127"/>
      <c r="B157" s="67"/>
      <c r="C157" s="92"/>
      <c r="D157" s="40"/>
      <c r="E157" s="52" t="s">
        <v>530</v>
      </c>
      <c r="F157" s="86" t="s">
        <v>531</v>
      </c>
      <c r="G157" s="59" t="s">
        <v>532</v>
      </c>
      <c r="H157" s="60"/>
      <c r="I157" s="58">
        <v>4</v>
      </c>
      <c r="J157" s="66" t="s">
        <v>43</v>
      </c>
      <c r="K157" s="67">
        <f t="shared" si="2"/>
        <v>4</v>
      </c>
      <c r="L157" s="69"/>
    </row>
    <row r="158" s="1" customFormat="1" ht="25" customHeight="1" spans="1:12">
      <c r="A158" s="127"/>
      <c r="B158" s="67"/>
      <c r="C158" s="92"/>
      <c r="D158" s="40"/>
      <c r="E158" s="52" t="s">
        <v>533</v>
      </c>
      <c r="F158" s="86" t="s">
        <v>534</v>
      </c>
      <c r="G158" s="59" t="s">
        <v>535</v>
      </c>
      <c r="H158" s="60"/>
      <c r="I158" s="58">
        <v>4</v>
      </c>
      <c r="J158" s="66" t="s">
        <v>43</v>
      </c>
      <c r="K158" s="67">
        <f t="shared" si="2"/>
        <v>4</v>
      </c>
      <c r="L158" s="69"/>
    </row>
    <row r="159" s="1" customFormat="1" ht="25" customHeight="1" spans="1:12">
      <c r="A159" s="127"/>
      <c r="B159" s="67"/>
      <c r="C159" s="92"/>
      <c r="D159" s="40"/>
      <c r="E159" s="52" t="s">
        <v>794</v>
      </c>
      <c r="F159" s="86" t="s">
        <v>795</v>
      </c>
      <c r="G159" s="59" t="s">
        <v>796</v>
      </c>
      <c r="H159" s="60" t="s">
        <v>797</v>
      </c>
      <c r="I159" s="58">
        <v>20</v>
      </c>
      <c r="J159" s="66" t="s">
        <v>43</v>
      </c>
      <c r="K159" s="67">
        <f t="shared" si="2"/>
        <v>20</v>
      </c>
      <c r="L159" s="69"/>
    </row>
    <row r="160" s="1" customFormat="1" ht="25" customHeight="1" spans="1:12">
      <c r="A160" s="127"/>
      <c r="B160" s="67"/>
      <c r="C160" s="92"/>
      <c r="D160" s="40"/>
      <c r="E160" s="52" t="s">
        <v>536</v>
      </c>
      <c r="F160" s="86" t="s">
        <v>537</v>
      </c>
      <c r="G160" s="59" t="s">
        <v>538</v>
      </c>
      <c r="H160" s="60"/>
      <c r="I160" s="58">
        <v>4</v>
      </c>
      <c r="J160" s="66" t="s">
        <v>43</v>
      </c>
      <c r="K160" s="67">
        <f t="shared" si="2"/>
        <v>4</v>
      </c>
      <c r="L160" s="69"/>
    </row>
    <row r="161" s="1" customFormat="1" ht="25" customHeight="1" spans="1:12">
      <c r="A161" s="127"/>
      <c r="B161" s="67"/>
      <c r="C161" s="126"/>
      <c r="D161" s="90"/>
      <c r="E161" s="52" t="s">
        <v>539</v>
      </c>
      <c r="F161" s="86" t="s">
        <v>540</v>
      </c>
      <c r="G161" s="59" t="s">
        <v>541</v>
      </c>
      <c r="H161" s="60"/>
      <c r="I161" s="58">
        <v>5</v>
      </c>
      <c r="J161" s="66" t="s">
        <v>43</v>
      </c>
      <c r="K161" s="67">
        <f t="shared" si="2"/>
        <v>5</v>
      </c>
      <c r="L161" s="70"/>
    </row>
    <row r="162" s="1" customFormat="1" ht="25" customHeight="1" spans="1:12">
      <c r="A162" s="127"/>
      <c r="B162" s="67"/>
      <c r="C162" s="93" t="s">
        <v>500</v>
      </c>
      <c r="D162" s="87"/>
      <c r="E162" s="52" t="s">
        <v>501</v>
      </c>
      <c r="F162" s="48" t="s">
        <v>502</v>
      </c>
      <c r="G162" s="56" t="s">
        <v>503</v>
      </c>
      <c r="H162" s="57" t="s">
        <v>504</v>
      </c>
      <c r="I162" s="54">
        <v>5</v>
      </c>
      <c r="J162" s="66" t="s">
        <v>43</v>
      </c>
      <c r="K162" s="67">
        <f t="shared" si="2"/>
        <v>5</v>
      </c>
      <c r="L162" s="68">
        <f>SUM(K162:K163)</f>
        <v>10</v>
      </c>
    </row>
    <row r="163" s="1" customFormat="1" ht="25" customHeight="1" spans="1:12">
      <c r="A163" s="127"/>
      <c r="B163" s="67"/>
      <c r="C163" s="126"/>
      <c r="D163" s="90"/>
      <c r="E163" s="52" t="s">
        <v>505</v>
      </c>
      <c r="F163" s="86" t="s">
        <v>506</v>
      </c>
      <c r="G163" s="59" t="s">
        <v>507</v>
      </c>
      <c r="H163" s="60" t="s">
        <v>508</v>
      </c>
      <c r="I163" s="58">
        <v>5</v>
      </c>
      <c r="J163" s="66" t="s">
        <v>43</v>
      </c>
      <c r="K163" s="67">
        <f t="shared" si="2"/>
        <v>5</v>
      </c>
      <c r="L163" s="69"/>
    </row>
    <row r="164" s="1" customFormat="1" ht="25" customHeight="1" spans="1:12">
      <c r="A164" s="127"/>
      <c r="B164" s="67"/>
      <c r="C164" s="93" t="s">
        <v>565</v>
      </c>
      <c r="D164" s="87"/>
      <c r="E164" s="52" t="s">
        <v>566</v>
      </c>
      <c r="F164" s="48" t="s">
        <v>567</v>
      </c>
      <c r="G164" s="56" t="s">
        <v>568</v>
      </c>
      <c r="H164" s="57" t="s">
        <v>569</v>
      </c>
      <c r="I164" s="54">
        <v>3</v>
      </c>
      <c r="J164" s="66" t="s">
        <v>43</v>
      </c>
      <c r="K164" s="67">
        <f t="shared" si="2"/>
        <v>3</v>
      </c>
      <c r="L164" s="68">
        <f>SUM(K164:K166)</f>
        <v>7</v>
      </c>
    </row>
    <row r="165" s="1" customFormat="1" ht="25" customHeight="1" spans="1:12">
      <c r="A165" s="127"/>
      <c r="B165" s="67"/>
      <c r="C165" s="92"/>
      <c r="D165" s="40"/>
      <c r="E165" s="52" t="s">
        <v>570</v>
      </c>
      <c r="F165" s="86" t="s">
        <v>571</v>
      </c>
      <c r="G165" s="59" t="s">
        <v>572</v>
      </c>
      <c r="H165" s="60" t="s">
        <v>573</v>
      </c>
      <c r="I165" s="58">
        <v>3</v>
      </c>
      <c r="J165" s="66" t="s">
        <v>43</v>
      </c>
      <c r="K165" s="67">
        <f t="shared" si="2"/>
        <v>3</v>
      </c>
      <c r="L165" s="69"/>
    </row>
    <row r="166" s="1" customFormat="1" ht="25" customHeight="1" spans="1:12">
      <c r="A166" s="127"/>
      <c r="B166" s="67"/>
      <c r="C166" s="126"/>
      <c r="D166" s="90"/>
      <c r="E166" s="52" t="s">
        <v>574</v>
      </c>
      <c r="F166" s="86" t="s">
        <v>575</v>
      </c>
      <c r="G166" s="59" t="s">
        <v>576</v>
      </c>
      <c r="H166" s="60"/>
      <c r="I166" s="58">
        <v>1</v>
      </c>
      <c r="J166" s="66" t="s">
        <v>43</v>
      </c>
      <c r="K166" s="67">
        <f t="shared" si="2"/>
        <v>1</v>
      </c>
      <c r="L166" s="70"/>
    </row>
    <row r="167" s="1" customFormat="1" ht="25" customHeight="1" spans="1:12">
      <c r="A167" s="127"/>
      <c r="B167" s="67"/>
      <c r="C167" s="93" t="s">
        <v>802</v>
      </c>
      <c r="D167" s="87"/>
      <c r="E167" s="52" t="s">
        <v>582</v>
      </c>
      <c r="F167" s="48" t="s">
        <v>582</v>
      </c>
      <c r="G167" s="21" t="s">
        <v>803</v>
      </c>
      <c r="H167" s="53" t="s">
        <v>804</v>
      </c>
      <c r="I167" s="48">
        <v>8</v>
      </c>
      <c r="J167" s="66" t="s">
        <v>43</v>
      </c>
      <c r="K167" s="67">
        <f t="shared" si="2"/>
        <v>8</v>
      </c>
      <c r="L167" s="68">
        <f>SUM(K167:K168)</f>
        <v>11</v>
      </c>
    </row>
    <row r="168" s="1" customFormat="1" ht="25" customHeight="1" spans="1:12">
      <c r="A168" s="127"/>
      <c r="B168" s="67"/>
      <c r="C168" s="126"/>
      <c r="D168" s="90"/>
      <c r="E168" s="52" t="s">
        <v>585</v>
      </c>
      <c r="F168" s="48" t="s">
        <v>585</v>
      </c>
      <c r="G168" s="21" t="s">
        <v>805</v>
      </c>
      <c r="H168" s="95"/>
      <c r="I168" s="48">
        <v>3</v>
      </c>
      <c r="J168" s="66" t="s">
        <v>43</v>
      </c>
      <c r="K168" s="67">
        <f t="shared" si="2"/>
        <v>3</v>
      </c>
      <c r="L168" s="69"/>
    </row>
    <row r="169" s="1" customFormat="1" ht="25" customHeight="1" spans="1:12">
      <c r="A169" s="127"/>
      <c r="B169" s="67"/>
      <c r="C169" s="93" t="s">
        <v>38</v>
      </c>
      <c r="D169" s="87"/>
      <c r="E169" s="52" t="s">
        <v>39</v>
      </c>
      <c r="F169" s="48" t="s">
        <v>40</v>
      </c>
      <c r="G169" s="56" t="s">
        <v>41</v>
      </c>
      <c r="H169" s="57" t="s">
        <v>42</v>
      </c>
      <c r="I169" s="54">
        <v>8</v>
      </c>
      <c r="J169" s="66" t="s">
        <v>43</v>
      </c>
      <c r="K169" s="67">
        <f t="shared" si="2"/>
        <v>8</v>
      </c>
      <c r="L169" s="68">
        <f>SUM(K169:K175)</f>
        <v>33</v>
      </c>
    </row>
    <row r="170" s="1" customFormat="1" ht="25" customHeight="1" spans="1:12">
      <c r="A170" s="127"/>
      <c r="B170" s="67"/>
      <c r="C170" s="92"/>
      <c r="D170" s="40"/>
      <c r="E170" s="52" t="s">
        <v>44</v>
      </c>
      <c r="F170" s="86" t="s">
        <v>45</v>
      </c>
      <c r="G170" s="59" t="s">
        <v>46</v>
      </c>
      <c r="H170" s="60" t="s">
        <v>47</v>
      </c>
      <c r="I170" s="58">
        <v>8</v>
      </c>
      <c r="J170" s="66" t="s">
        <v>43</v>
      </c>
      <c r="K170" s="67">
        <f t="shared" si="2"/>
        <v>8</v>
      </c>
      <c r="L170" s="69"/>
    </row>
    <row r="171" s="1" customFormat="1" ht="25" customHeight="1" spans="1:12">
      <c r="A171" s="127"/>
      <c r="B171" s="67"/>
      <c r="C171" s="92"/>
      <c r="D171" s="40"/>
      <c r="E171" s="52" t="s">
        <v>48</v>
      </c>
      <c r="F171" s="86" t="s">
        <v>49</v>
      </c>
      <c r="G171" s="59" t="s">
        <v>50</v>
      </c>
      <c r="H171" s="60"/>
      <c r="I171" s="58">
        <v>5</v>
      </c>
      <c r="J171" s="66" t="s">
        <v>43</v>
      </c>
      <c r="K171" s="67">
        <f t="shared" si="2"/>
        <v>5</v>
      </c>
      <c r="L171" s="69"/>
    </row>
    <row r="172" s="1" customFormat="1" ht="25" customHeight="1" spans="1:12">
      <c r="A172" s="127"/>
      <c r="B172" s="67"/>
      <c r="C172" s="92"/>
      <c r="D172" s="40"/>
      <c r="E172" s="52" t="s">
        <v>51</v>
      </c>
      <c r="F172" s="86" t="s">
        <v>52</v>
      </c>
      <c r="G172" s="59" t="s">
        <v>53</v>
      </c>
      <c r="H172" s="60"/>
      <c r="I172" s="58">
        <v>3</v>
      </c>
      <c r="J172" s="66" t="s">
        <v>43</v>
      </c>
      <c r="K172" s="67">
        <f t="shared" si="2"/>
        <v>3</v>
      </c>
      <c r="L172" s="69"/>
    </row>
    <row r="173" s="1" customFormat="1" ht="25" customHeight="1" spans="1:12">
      <c r="A173" s="127"/>
      <c r="B173" s="67"/>
      <c r="C173" s="92"/>
      <c r="D173" s="40"/>
      <c r="E173" s="52" t="s">
        <v>54</v>
      </c>
      <c r="F173" s="86" t="s">
        <v>54</v>
      </c>
      <c r="G173" s="59" t="s">
        <v>56</v>
      </c>
      <c r="H173" s="60"/>
      <c r="I173" s="58">
        <v>5</v>
      </c>
      <c r="J173" s="66" t="s">
        <v>43</v>
      </c>
      <c r="K173" s="67">
        <f t="shared" si="2"/>
        <v>5</v>
      </c>
      <c r="L173" s="69"/>
    </row>
    <row r="174" s="1" customFormat="1" ht="25" customHeight="1" spans="1:12">
      <c r="A174" s="127"/>
      <c r="B174" s="67"/>
      <c r="C174" s="92"/>
      <c r="D174" s="40"/>
      <c r="E174" s="87" t="s">
        <v>61</v>
      </c>
      <c r="F174" s="48" t="s">
        <v>62</v>
      </c>
      <c r="G174" s="56" t="s">
        <v>63</v>
      </c>
      <c r="H174" s="57"/>
      <c r="I174" s="54">
        <v>2</v>
      </c>
      <c r="J174" s="66" t="s">
        <v>43</v>
      </c>
      <c r="K174" s="67">
        <f t="shared" si="2"/>
        <v>2</v>
      </c>
      <c r="L174" s="69"/>
    </row>
    <row r="175" ht="25" customHeight="1" spans="1:12">
      <c r="A175" s="127"/>
      <c r="B175" s="67"/>
      <c r="C175" s="126"/>
      <c r="D175" s="40"/>
      <c r="E175" s="134" t="s">
        <v>849</v>
      </c>
      <c r="F175" s="48" t="s">
        <v>706</v>
      </c>
      <c r="G175" s="21" t="s">
        <v>707</v>
      </c>
      <c r="H175" s="53" t="s">
        <v>708</v>
      </c>
      <c r="I175" s="48">
        <v>2</v>
      </c>
      <c r="J175" s="66" t="s">
        <v>43</v>
      </c>
      <c r="K175" s="67">
        <f t="shared" si="2"/>
        <v>2</v>
      </c>
      <c r="L175" s="70"/>
    </row>
    <row r="176" s="1" customFormat="1" ht="25" customHeight="1" spans="1:12">
      <c r="A176" s="127"/>
      <c r="B176" s="67"/>
      <c r="C176" s="93" t="s">
        <v>64</v>
      </c>
      <c r="D176" s="87"/>
      <c r="E176" s="52" t="s">
        <v>608</v>
      </c>
      <c r="F176" s="48" t="s">
        <v>609</v>
      </c>
      <c r="G176" s="56" t="s">
        <v>610</v>
      </c>
      <c r="H176" s="57"/>
      <c r="I176" s="54">
        <v>2</v>
      </c>
      <c r="J176" s="66" t="s">
        <v>43</v>
      </c>
      <c r="K176" s="67">
        <f t="shared" si="2"/>
        <v>2</v>
      </c>
      <c r="L176" s="68">
        <f>SUM(K176:K188)</f>
        <v>29</v>
      </c>
    </row>
    <row r="177" s="1" customFormat="1" ht="25" customHeight="1" spans="1:12">
      <c r="A177" s="127"/>
      <c r="B177" s="67"/>
      <c r="C177" s="92"/>
      <c r="D177" s="40"/>
      <c r="E177" s="52" t="s">
        <v>614</v>
      </c>
      <c r="F177" s="48" t="s">
        <v>614</v>
      </c>
      <c r="G177" s="56" t="s">
        <v>615</v>
      </c>
      <c r="H177" s="57"/>
      <c r="I177" s="54">
        <v>2</v>
      </c>
      <c r="J177" s="66" t="s">
        <v>43</v>
      </c>
      <c r="K177" s="67">
        <f t="shared" si="2"/>
        <v>2</v>
      </c>
      <c r="L177" s="69"/>
    </row>
    <row r="178" s="1" customFormat="1" ht="25" customHeight="1" spans="1:12">
      <c r="A178" s="127"/>
      <c r="B178" s="67"/>
      <c r="C178" s="92"/>
      <c r="D178" s="40"/>
      <c r="E178" s="52" t="s">
        <v>395</v>
      </c>
      <c r="F178" s="86" t="s">
        <v>395</v>
      </c>
      <c r="G178" s="59" t="s">
        <v>617</v>
      </c>
      <c r="H178" s="60"/>
      <c r="I178" s="58">
        <v>5</v>
      </c>
      <c r="J178" s="66" t="s">
        <v>43</v>
      </c>
      <c r="K178" s="67">
        <f t="shared" si="2"/>
        <v>5</v>
      </c>
      <c r="L178" s="69"/>
    </row>
    <row r="179" s="1" customFormat="1" ht="25" customHeight="1" spans="1:12">
      <c r="A179" s="127"/>
      <c r="B179" s="67"/>
      <c r="C179" s="92"/>
      <c r="D179" s="40"/>
      <c r="E179" s="52" t="s">
        <v>65</v>
      </c>
      <c r="F179" s="48" t="s">
        <v>66</v>
      </c>
      <c r="G179" s="56" t="s">
        <v>67</v>
      </c>
      <c r="H179" s="57"/>
      <c r="I179" s="54">
        <v>1</v>
      </c>
      <c r="J179" s="66" t="s">
        <v>43</v>
      </c>
      <c r="K179" s="67">
        <f t="shared" si="2"/>
        <v>1</v>
      </c>
      <c r="L179" s="69"/>
    </row>
    <row r="180" s="1" customFormat="1" ht="25" customHeight="1" spans="1:12">
      <c r="A180" s="127"/>
      <c r="B180" s="67"/>
      <c r="C180" s="92"/>
      <c r="D180" s="40"/>
      <c r="E180" s="52" t="s">
        <v>68</v>
      </c>
      <c r="F180" s="86" t="s">
        <v>69</v>
      </c>
      <c r="G180" s="59" t="s">
        <v>70</v>
      </c>
      <c r="H180" s="60"/>
      <c r="I180" s="58">
        <v>2</v>
      </c>
      <c r="J180" s="66" t="s">
        <v>43</v>
      </c>
      <c r="K180" s="67">
        <f t="shared" si="2"/>
        <v>2</v>
      </c>
      <c r="L180" s="69"/>
    </row>
    <row r="181" s="1" customFormat="1" ht="25" customHeight="1" spans="1:12">
      <c r="A181" s="127"/>
      <c r="B181" s="67"/>
      <c r="C181" s="92"/>
      <c r="D181" s="40"/>
      <c r="E181" s="52" t="s">
        <v>799</v>
      </c>
      <c r="F181" s="86" t="s">
        <v>799</v>
      </c>
      <c r="G181" s="59" t="s">
        <v>800</v>
      </c>
      <c r="H181" s="60"/>
      <c r="I181" s="58">
        <v>2</v>
      </c>
      <c r="J181" s="66" t="s">
        <v>43</v>
      </c>
      <c r="K181" s="67">
        <f t="shared" si="2"/>
        <v>2</v>
      </c>
      <c r="L181" s="69"/>
    </row>
    <row r="182" s="1" customFormat="1" ht="25" customHeight="1" spans="1:12">
      <c r="A182" s="127"/>
      <c r="B182" s="67"/>
      <c r="C182" s="92"/>
      <c r="D182" s="40"/>
      <c r="E182" s="52" t="s">
        <v>77</v>
      </c>
      <c r="F182" s="48" t="s">
        <v>77</v>
      </c>
      <c r="G182" s="21"/>
      <c r="H182" s="53"/>
      <c r="I182" s="48">
        <v>0</v>
      </c>
      <c r="J182" s="66" t="s">
        <v>43</v>
      </c>
      <c r="K182" s="67">
        <f t="shared" si="2"/>
        <v>0</v>
      </c>
      <c r="L182" s="69"/>
    </row>
    <row r="183" s="1" customFormat="1" ht="25" customHeight="1" spans="1:12">
      <c r="A183" s="127"/>
      <c r="B183" s="67"/>
      <c r="C183" s="92"/>
      <c r="D183" s="40"/>
      <c r="E183" s="52" t="s">
        <v>71</v>
      </c>
      <c r="F183" s="48" t="s">
        <v>72</v>
      </c>
      <c r="G183" s="56" t="s">
        <v>73</v>
      </c>
      <c r="H183" s="57"/>
      <c r="I183" s="54">
        <v>1</v>
      </c>
      <c r="J183" s="66" t="s">
        <v>43</v>
      </c>
      <c r="K183" s="67">
        <f t="shared" si="2"/>
        <v>1</v>
      </c>
      <c r="L183" s="69"/>
    </row>
    <row r="184" s="1" customFormat="1" ht="25" customHeight="1" spans="1:12">
      <c r="A184" s="127"/>
      <c r="B184" s="67"/>
      <c r="C184" s="92"/>
      <c r="D184" s="40"/>
      <c r="E184" s="52" t="s">
        <v>58</v>
      </c>
      <c r="F184" s="48" t="s">
        <v>59</v>
      </c>
      <c r="G184" s="56" t="s">
        <v>60</v>
      </c>
      <c r="H184" s="57"/>
      <c r="I184" s="54">
        <v>2</v>
      </c>
      <c r="J184" s="66" t="s">
        <v>43</v>
      </c>
      <c r="K184" s="67">
        <f t="shared" si="2"/>
        <v>2</v>
      </c>
      <c r="L184" s="69"/>
    </row>
    <row r="185" s="1" customFormat="1" ht="25" customHeight="1" spans="1:12">
      <c r="A185" s="127"/>
      <c r="B185" s="67"/>
      <c r="C185" s="92"/>
      <c r="D185" s="40"/>
      <c r="E185" s="52" t="s">
        <v>74</v>
      </c>
      <c r="F185" s="48" t="s">
        <v>75</v>
      </c>
      <c r="G185" s="56" t="s">
        <v>76</v>
      </c>
      <c r="H185" s="57"/>
      <c r="I185" s="54">
        <v>1</v>
      </c>
      <c r="J185" s="66" t="s">
        <v>43</v>
      </c>
      <c r="K185" s="67">
        <f t="shared" si="2"/>
        <v>1</v>
      </c>
      <c r="L185" s="69"/>
    </row>
    <row r="186" s="1" customFormat="1" ht="25" customHeight="1" spans="1:12">
      <c r="A186" s="127"/>
      <c r="B186" s="67"/>
      <c r="C186" s="92"/>
      <c r="D186" s="40"/>
      <c r="E186" s="52" t="s">
        <v>88</v>
      </c>
      <c r="F186" s="48" t="s">
        <v>88</v>
      </c>
      <c r="G186" s="56" t="s">
        <v>89</v>
      </c>
      <c r="H186" s="57" t="s">
        <v>90</v>
      </c>
      <c r="I186" s="54">
        <v>8</v>
      </c>
      <c r="J186" s="66" t="s">
        <v>43</v>
      </c>
      <c r="K186" s="67">
        <f t="shared" si="2"/>
        <v>8</v>
      </c>
      <c r="L186" s="69"/>
    </row>
    <row r="187" s="1" customFormat="1" ht="25" customHeight="1" spans="1:12">
      <c r="A187" s="127"/>
      <c r="B187" s="67"/>
      <c r="C187" s="92"/>
      <c r="D187" s="40"/>
      <c r="E187" s="52" t="s">
        <v>801</v>
      </c>
      <c r="F187" s="48" t="s">
        <v>801</v>
      </c>
      <c r="G187" s="21"/>
      <c r="H187" s="53"/>
      <c r="I187" s="48">
        <v>0</v>
      </c>
      <c r="J187" s="66" t="s">
        <v>43</v>
      </c>
      <c r="K187" s="67">
        <f t="shared" si="2"/>
        <v>0</v>
      </c>
      <c r="L187" s="69"/>
    </row>
    <row r="188" s="1" customFormat="1" ht="25" customHeight="1" spans="1:12">
      <c r="A188" s="127"/>
      <c r="B188" s="67"/>
      <c r="C188" s="92"/>
      <c r="D188" s="40"/>
      <c r="E188" s="52" t="s">
        <v>450</v>
      </c>
      <c r="F188" s="48" t="s">
        <v>450</v>
      </c>
      <c r="G188" s="56" t="s">
        <v>451</v>
      </c>
      <c r="H188" s="57" t="s">
        <v>452</v>
      </c>
      <c r="I188" s="54">
        <v>3</v>
      </c>
      <c r="J188" s="66" t="s">
        <v>43</v>
      </c>
      <c r="K188" s="67">
        <f t="shared" si="2"/>
        <v>3</v>
      </c>
      <c r="L188" s="70"/>
    </row>
    <row r="189" ht="25" customHeight="1" spans="1:12">
      <c r="A189" s="127"/>
      <c r="B189" s="67"/>
      <c r="C189" s="47" t="s">
        <v>641</v>
      </c>
      <c r="D189" s="93"/>
      <c r="E189" s="98" t="s">
        <v>641</v>
      </c>
      <c r="F189" s="48" t="s">
        <v>641</v>
      </c>
      <c r="G189" s="21" t="s">
        <v>806</v>
      </c>
      <c r="H189" s="53"/>
      <c r="I189" s="48">
        <v>1</v>
      </c>
      <c r="J189" s="66" t="s">
        <v>43</v>
      </c>
      <c r="K189" s="67">
        <f t="shared" si="2"/>
        <v>1</v>
      </c>
      <c r="L189" s="133">
        <f>SUM(K189:K192)</f>
        <v>23</v>
      </c>
    </row>
    <row r="190" ht="25" customHeight="1" spans="1:12">
      <c r="A190" s="127"/>
      <c r="B190" s="67"/>
      <c r="C190" s="52"/>
      <c r="D190" s="92"/>
      <c r="E190" s="135" t="s">
        <v>645</v>
      </c>
      <c r="F190" s="48" t="s">
        <v>646</v>
      </c>
      <c r="G190" s="21" t="s">
        <v>647</v>
      </c>
      <c r="H190" s="53" t="s">
        <v>648</v>
      </c>
      <c r="I190" s="48">
        <v>10</v>
      </c>
      <c r="J190" s="66" t="s">
        <v>43</v>
      </c>
      <c r="K190" s="67">
        <f t="shared" si="2"/>
        <v>10</v>
      </c>
      <c r="L190" s="69"/>
    </row>
    <row r="191" ht="25" customHeight="1" spans="1:12">
      <c r="A191" s="127"/>
      <c r="B191" s="67"/>
      <c r="C191" s="52"/>
      <c r="D191" s="92"/>
      <c r="E191" s="135" t="s">
        <v>649</v>
      </c>
      <c r="F191" s="48" t="s">
        <v>650</v>
      </c>
      <c r="G191" s="21" t="s">
        <v>651</v>
      </c>
      <c r="H191" s="53" t="s">
        <v>652</v>
      </c>
      <c r="I191" s="48">
        <v>2</v>
      </c>
      <c r="J191" s="66" t="s">
        <v>43</v>
      </c>
      <c r="K191" s="67">
        <f t="shared" si="2"/>
        <v>2</v>
      </c>
      <c r="L191" s="69"/>
    </row>
    <row r="192" ht="25" customHeight="1" spans="1:12">
      <c r="A192" s="127"/>
      <c r="B192" s="67"/>
      <c r="C192" s="52"/>
      <c r="D192" s="92"/>
      <c r="E192" s="135" t="s">
        <v>653</v>
      </c>
      <c r="F192" s="48" t="s">
        <v>654</v>
      </c>
      <c r="G192" s="21" t="s">
        <v>655</v>
      </c>
      <c r="H192" s="53" t="s">
        <v>648</v>
      </c>
      <c r="I192" s="48">
        <v>10</v>
      </c>
      <c r="J192" s="66" t="s">
        <v>43</v>
      </c>
      <c r="K192" s="67">
        <f t="shared" si="2"/>
        <v>10</v>
      </c>
      <c r="L192" s="69"/>
    </row>
    <row r="193" s="1" customFormat="1" ht="25" customHeight="1" spans="1:12">
      <c r="A193" s="127"/>
      <c r="B193" s="67"/>
      <c r="C193" s="93" t="s">
        <v>611</v>
      </c>
      <c r="D193" s="87"/>
      <c r="E193" s="52" t="s">
        <v>807</v>
      </c>
      <c r="F193" s="48" t="s">
        <v>807</v>
      </c>
      <c r="G193" s="56"/>
      <c r="H193" s="57"/>
      <c r="I193" s="54">
        <v>0</v>
      </c>
      <c r="J193" s="66" t="s">
        <v>43</v>
      </c>
      <c r="K193" s="131">
        <f t="shared" si="2"/>
        <v>0</v>
      </c>
      <c r="L193" s="132">
        <f>SUM(K193:K196)</f>
        <v>0</v>
      </c>
    </row>
    <row r="194" s="1" customFormat="1" ht="25" customHeight="1" spans="1:12">
      <c r="A194" s="127"/>
      <c r="B194" s="67"/>
      <c r="C194" s="92"/>
      <c r="D194" s="40"/>
      <c r="E194" s="52" t="s">
        <v>808</v>
      </c>
      <c r="F194" s="48" t="s">
        <v>808</v>
      </c>
      <c r="G194" s="21"/>
      <c r="H194" s="53"/>
      <c r="I194" s="54">
        <v>0</v>
      </c>
      <c r="J194" s="66" t="s">
        <v>43</v>
      </c>
      <c r="K194" s="131">
        <f t="shared" si="2"/>
        <v>0</v>
      </c>
      <c r="L194" s="67"/>
    </row>
    <row r="195" s="1" customFormat="1" ht="25" customHeight="1" spans="1:12">
      <c r="A195" s="127"/>
      <c r="B195" s="67"/>
      <c r="C195" s="92"/>
      <c r="D195" s="40"/>
      <c r="E195" s="52" t="s">
        <v>809</v>
      </c>
      <c r="F195" s="48" t="s">
        <v>809</v>
      </c>
      <c r="G195" s="21"/>
      <c r="H195" s="53"/>
      <c r="I195" s="54">
        <v>0</v>
      </c>
      <c r="J195" s="66" t="s">
        <v>43</v>
      </c>
      <c r="K195" s="131">
        <f t="shared" ref="K195:K213" si="3">IF(J195&lt;&gt;0,I195,0)</f>
        <v>0</v>
      </c>
      <c r="L195" s="67"/>
    </row>
    <row r="196" s="1" customFormat="1" ht="25" customHeight="1" spans="1:12">
      <c r="A196" s="127"/>
      <c r="B196" s="67"/>
      <c r="C196" s="92"/>
      <c r="D196" s="40"/>
      <c r="E196" s="52" t="s">
        <v>810</v>
      </c>
      <c r="F196" s="48" t="s">
        <v>810</v>
      </c>
      <c r="G196" s="21"/>
      <c r="H196" s="53"/>
      <c r="I196" s="54">
        <v>0</v>
      </c>
      <c r="J196" s="66" t="s">
        <v>43</v>
      </c>
      <c r="K196" s="131">
        <f t="shared" si="3"/>
        <v>0</v>
      </c>
      <c r="L196" s="67"/>
    </row>
    <row r="197" s="1" customFormat="1" ht="25" customHeight="1" spans="1:12">
      <c r="A197" s="127"/>
      <c r="B197" s="67"/>
      <c r="C197" s="98" t="s">
        <v>811</v>
      </c>
      <c r="D197" s="48"/>
      <c r="E197" s="87" t="s">
        <v>811</v>
      </c>
      <c r="F197" s="138" t="s">
        <v>588</v>
      </c>
      <c r="G197" s="139" t="s">
        <v>589</v>
      </c>
      <c r="H197" s="140"/>
      <c r="I197" s="141">
        <v>10</v>
      </c>
      <c r="J197" s="142" t="s">
        <v>43</v>
      </c>
      <c r="K197" s="143">
        <f t="shared" si="3"/>
        <v>10</v>
      </c>
      <c r="L197" s="143">
        <f>SUM(K197:K197)</f>
        <v>10</v>
      </c>
    </row>
    <row r="198" ht="25" customHeight="1" spans="1:12">
      <c r="A198" s="127"/>
      <c r="B198" s="101" t="s">
        <v>671</v>
      </c>
      <c r="C198" s="91" t="s">
        <v>671</v>
      </c>
      <c r="D198" s="38"/>
      <c r="E198" s="52" t="s">
        <v>672</v>
      </c>
      <c r="F198" s="48" t="s">
        <v>673</v>
      </c>
      <c r="G198" s="21" t="s">
        <v>674</v>
      </c>
      <c r="H198" s="53" t="s">
        <v>675</v>
      </c>
      <c r="I198" s="48">
        <v>6</v>
      </c>
      <c r="J198" s="66" t="s">
        <v>43</v>
      </c>
      <c r="K198" s="67">
        <f t="shared" si="3"/>
        <v>6</v>
      </c>
      <c r="L198" s="132">
        <f>SUM(K198:K209)</f>
        <v>62</v>
      </c>
    </row>
    <row r="199" ht="25" customHeight="1" spans="1:12">
      <c r="A199" s="127"/>
      <c r="B199" s="69"/>
      <c r="C199" s="85"/>
      <c r="D199" s="40"/>
      <c r="E199" s="52" t="s">
        <v>709</v>
      </c>
      <c r="F199" s="48" t="s">
        <v>710</v>
      </c>
      <c r="G199" s="21" t="s">
        <v>711</v>
      </c>
      <c r="H199" s="53" t="s">
        <v>712</v>
      </c>
      <c r="I199" s="48">
        <v>9</v>
      </c>
      <c r="J199" s="66" t="s">
        <v>43</v>
      </c>
      <c r="K199" s="67">
        <f t="shared" si="3"/>
        <v>9</v>
      </c>
      <c r="L199" s="67"/>
    </row>
    <row r="200" ht="25" customHeight="1" spans="1:12">
      <c r="A200" s="127"/>
      <c r="B200" s="69"/>
      <c r="C200" s="85"/>
      <c r="D200" s="40"/>
      <c r="E200" s="52" t="s">
        <v>713</v>
      </c>
      <c r="F200" s="48" t="s">
        <v>714</v>
      </c>
      <c r="G200" s="21" t="s">
        <v>715</v>
      </c>
      <c r="H200" s="53" t="s">
        <v>716</v>
      </c>
      <c r="I200" s="48">
        <v>3</v>
      </c>
      <c r="J200" s="66" t="s">
        <v>43</v>
      </c>
      <c r="K200" s="67">
        <f t="shared" si="3"/>
        <v>3</v>
      </c>
      <c r="L200" s="67"/>
    </row>
    <row r="201" ht="25" customHeight="1" spans="1:12">
      <c r="A201" s="127"/>
      <c r="B201" s="69"/>
      <c r="C201" s="85"/>
      <c r="D201" s="40"/>
      <c r="E201" s="52" t="s">
        <v>676</v>
      </c>
      <c r="F201" s="48" t="s">
        <v>677</v>
      </c>
      <c r="G201" s="21" t="s">
        <v>678</v>
      </c>
      <c r="H201" s="53" t="s">
        <v>679</v>
      </c>
      <c r="I201" s="48">
        <v>5</v>
      </c>
      <c r="J201" s="66" t="s">
        <v>43</v>
      </c>
      <c r="K201" s="67">
        <f t="shared" si="3"/>
        <v>5</v>
      </c>
      <c r="L201" s="67"/>
    </row>
    <row r="202" ht="25" customHeight="1" spans="1:12">
      <c r="A202" s="127"/>
      <c r="B202" s="69"/>
      <c r="C202" s="85"/>
      <c r="D202" s="40"/>
      <c r="E202" s="52" t="s">
        <v>842</v>
      </c>
      <c r="F202" s="48" t="s">
        <v>843</v>
      </c>
      <c r="G202" s="21" t="s">
        <v>844</v>
      </c>
      <c r="H202" s="53" t="s">
        <v>845</v>
      </c>
      <c r="I202" s="48">
        <v>10</v>
      </c>
      <c r="J202" s="66" t="s">
        <v>43</v>
      </c>
      <c r="K202" s="67">
        <f t="shared" si="3"/>
        <v>10</v>
      </c>
      <c r="L202" s="67"/>
    </row>
    <row r="203" ht="25" customHeight="1" spans="1:12">
      <c r="A203" s="127"/>
      <c r="B203" s="69"/>
      <c r="C203" s="85"/>
      <c r="D203" s="40"/>
      <c r="E203" s="52" t="s">
        <v>680</v>
      </c>
      <c r="F203" s="48" t="s">
        <v>681</v>
      </c>
      <c r="G203" s="21" t="s">
        <v>682</v>
      </c>
      <c r="H203" s="53" t="s">
        <v>683</v>
      </c>
      <c r="I203" s="48">
        <v>5</v>
      </c>
      <c r="J203" s="66" t="s">
        <v>43</v>
      </c>
      <c r="K203" s="67">
        <f t="shared" si="3"/>
        <v>5</v>
      </c>
      <c r="L203" s="67"/>
    </row>
    <row r="204" ht="25" customHeight="1" spans="1:12">
      <c r="A204" s="127"/>
      <c r="B204" s="69"/>
      <c r="C204" s="85"/>
      <c r="D204" s="40"/>
      <c r="E204" s="52" t="s">
        <v>684</v>
      </c>
      <c r="F204" s="48"/>
      <c r="G204" s="21" t="s">
        <v>685</v>
      </c>
      <c r="H204" s="53" t="s">
        <v>686</v>
      </c>
      <c r="I204" s="48">
        <v>6</v>
      </c>
      <c r="J204" s="66" t="s">
        <v>43</v>
      </c>
      <c r="K204" s="67">
        <f t="shared" si="3"/>
        <v>6</v>
      </c>
      <c r="L204" s="67"/>
    </row>
    <row r="205" ht="25" customHeight="1" spans="1:12">
      <c r="A205" s="127"/>
      <c r="B205" s="69"/>
      <c r="C205" s="85"/>
      <c r="D205" s="40"/>
      <c r="E205" s="52" t="s">
        <v>687</v>
      </c>
      <c r="F205" s="48" t="s">
        <v>688</v>
      </c>
      <c r="G205" s="21" t="s">
        <v>689</v>
      </c>
      <c r="H205" s="53" t="s">
        <v>690</v>
      </c>
      <c r="I205" s="48">
        <v>3</v>
      </c>
      <c r="J205" s="66" t="s">
        <v>43</v>
      </c>
      <c r="K205" s="67">
        <f t="shared" si="3"/>
        <v>3</v>
      </c>
      <c r="L205" s="67"/>
    </row>
    <row r="206" ht="25" customHeight="1" spans="1:12">
      <c r="A206" s="127"/>
      <c r="B206" s="69"/>
      <c r="C206" s="85"/>
      <c r="D206" s="40"/>
      <c r="E206" s="52" t="s">
        <v>691</v>
      </c>
      <c r="F206" s="48" t="s">
        <v>688</v>
      </c>
      <c r="G206" s="21" t="s">
        <v>692</v>
      </c>
      <c r="H206" s="53" t="s">
        <v>693</v>
      </c>
      <c r="I206" s="48">
        <v>4</v>
      </c>
      <c r="J206" s="66" t="s">
        <v>43</v>
      </c>
      <c r="K206" s="67">
        <f t="shared" si="3"/>
        <v>4</v>
      </c>
      <c r="L206" s="67"/>
    </row>
    <row r="207" ht="25" customHeight="1" spans="1:12">
      <c r="A207" s="127"/>
      <c r="B207" s="69"/>
      <c r="C207" s="85"/>
      <c r="D207" s="40"/>
      <c r="E207" s="52" t="s">
        <v>694</v>
      </c>
      <c r="F207" s="48" t="s">
        <v>695</v>
      </c>
      <c r="G207" s="21" t="s">
        <v>692</v>
      </c>
      <c r="H207" s="53" t="s">
        <v>696</v>
      </c>
      <c r="I207" s="48">
        <v>3</v>
      </c>
      <c r="J207" s="66" t="s">
        <v>43</v>
      </c>
      <c r="K207" s="67">
        <f t="shared" si="3"/>
        <v>3</v>
      </c>
      <c r="L207" s="67"/>
    </row>
    <row r="208" ht="25" customHeight="1" spans="1:12">
      <c r="A208" s="127"/>
      <c r="B208" s="69"/>
      <c r="C208" s="85"/>
      <c r="D208" s="40"/>
      <c r="E208" s="52" t="s">
        <v>697</v>
      </c>
      <c r="F208" s="48" t="s">
        <v>698</v>
      </c>
      <c r="G208" s="21" t="s">
        <v>699</v>
      </c>
      <c r="H208" s="53" t="s">
        <v>700</v>
      </c>
      <c r="I208" s="144"/>
      <c r="J208" s="66" t="s">
        <v>43</v>
      </c>
      <c r="K208" s="67">
        <f t="shared" si="3"/>
        <v>0</v>
      </c>
      <c r="L208" s="67"/>
    </row>
    <row r="209" ht="25" customHeight="1" spans="1:12">
      <c r="A209" s="127"/>
      <c r="B209" s="69"/>
      <c r="C209" s="86"/>
      <c r="D209" s="90"/>
      <c r="E209" s="52" t="s">
        <v>701</v>
      </c>
      <c r="F209" s="48" t="s">
        <v>702</v>
      </c>
      <c r="G209" s="21" t="s">
        <v>703</v>
      </c>
      <c r="H209" s="53" t="s">
        <v>704</v>
      </c>
      <c r="I209" s="48">
        <v>8</v>
      </c>
      <c r="J209" s="66" t="s">
        <v>43</v>
      </c>
      <c r="K209" s="67">
        <f t="shared" si="3"/>
        <v>8</v>
      </c>
      <c r="L209" s="67"/>
    </row>
    <row r="210" s="1" customFormat="1" ht="25" customHeight="1" spans="1:12">
      <c r="A210" s="127"/>
      <c r="B210" s="102" t="s">
        <v>662</v>
      </c>
      <c r="C210" s="90" t="s">
        <v>663</v>
      </c>
      <c r="D210" s="86"/>
      <c r="E210" s="90" t="s">
        <v>663</v>
      </c>
      <c r="F210" s="86" t="s">
        <v>663</v>
      </c>
      <c r="G210" s="59" t="s">
        <v>664</v>
      </c>
      <c r="H210" s="60" t="s">
        <v>665</v>
      </c>
      <c r="I210" s="58">
        <v>3</v>
      </c>
      <c r="J210" s="145" t="s">
        <v>43</v>
      </c>
      <c r="K210" s="70">
        <f t="shared" si="3"/>
        <v>3</v>
      </c>
      <c r="L210" s="70">
        <f>SUM(K210:K210)</f>
        <v>3</v>
      </c>
    </row>
    <row r="211" s="1" customFormat="1" ht="25" customHeight="1" spans="1:12">
      <c r="A211" s="127"/>
      <c r="B211" s="100"/>
      <c r="C211" s="52" t="s">
        <v>666</v>
      </c>
      <c r="D211" s="86"/>
      <c r="E211" s="90" t="s">
        <v>666</v>
      </c>
      <c r="F211" s="86" t="s">
        <v>666</v>
      </c>
      <c r="G211" s="59" t="s">
        <v>667</v>
      </c>
      <c r="H211" s="60" t="s">
        <v>668</v>
      </c>
      <c r="I211" s="58">
        <v>3</v>
      </c>
      <c r="J211" s="66" t="s">
        <v>43</v>
      </c>
      <c r="K211" s="67">
        <f t="shared" si="3"/>
        <v>3</v>
      </c>
      <c r="L211" s="67">
        <f>SUM(K211:K211)</f>
        <v>3</v>
      </c>
    </row>
    <row r="212" s="1" customFormat="1" ht="24" customHeight="1" spans="1:12">
      <c r="A212" s="127"/>
      <c r="B212" s="100"/>
      <c r="C212" s="52" t="s">
        <v>669</v>
      </c>
      <c r="D212" s="86"/>
      <c r="E212" s="90" t="s">
        <v>669</v>
      </c>
      <c r="F212" s="86" t="s">
        <v>669</v>
      </c>
      <c r="G212" s="59" t="s">
        <v>670</v>
      </c>
      <c r="H212" s="60"/>
      <c r="I212" s="58">
        <v>2</v>
      </c>
      <c r="J212" s="66" t="s">
        <v>43</v>
      </c>
      <c r="K212" s="67">
        <f t="shared" si="3"/>
        <v>2</v>
      </c>
      <c r="L212" s="67">
        <f>SUM(K212:K212)</f>
        <v>2</v>
      </c>
    </row>
    <row r="213" s="1" customFormat="1" ht="25" customHeight="1" spans="1:12">
      <c r="A213" s="127"/>
      <c r="B213" s="100" t="s">
        <v>717</v>
      </c>
      <c r="C213" s="52" t="s">
        <v>718</v>
      </c>
      <c r="D213" s="86"/>
      <c r="E213" s="90" t="s">
        <v>719</v>
      </c>
      <c r="F213" s="86" t="s">
        <v>719</v>
      </c>
      <c r="G213" s="59" t="s">
        <v>720</v>
      </c>
      <c r="H213" s="60" t="s">
        <v>721</v>
      </c>
      <c r="I213" s="58">
        <v>5</v>
      </c>
      <c r="J213" s="66" t="s">
        <v>43</v>
      </c>
      <c r="K213" s="67">
        <f t="shared" si="3"/>
        <v>5</v>
      </c>
      <c r="L213" s="67">
        <f>SUM(K213:K213)</f>
        <v>5</v>
      </c>
    </row>
    <row r="214" s="1" customFormat="1" ht="25" customHeight="1" spans="1:12">
      <c r="A214" s="127"/>
      <c r="B214" s="106" t="s">
        <v>722</v>
      </c>
      <c r="C214" s="106"/>
      <c r="D214" s="106"/>
      <c r="E214" s="106"/>
      <c r="F214" s="105"/>
      <c r="G214" s="106"/>
      <c r="H214" s="105"/>
      <c r="I214" s="146"/>
      <c r="J214" s="106"/>
      <c r="K214" s="147"/>
      <c r="L214" s="105">
        <f>SUM(K3:K213)</f>
        <v>1045</v>
      </c>
    </row>
    <row r="215" s="1" customFormat="1" ht="25" customHeight="1" spans="1:12">
      <c r="A215" s="127"/>
      <c r="B215" s="100" t="s">
        <v>723</v>
      </c>
      <c r="C215" s="100" t="s">
        <v>724</v>
      </c>
      <c r="D215" s="100"/>
      <c r="E215" s="100"/>
      <c r="F215" s="107">
        <v>50</v>
      </c>
      <c r="G215" s="52" t="s">
        <v>725</v>
      </c>
      <c r="H215" s="48">
        <f>IF(F215&lt;=50,0,IF(F215&lt;71,INT((L214*0.05+0.99)),IF(F215&lt;91,INT((L214*0.1+0.99)),IF(F215&lt;131,INT((L214*0.15+0.99)),IF(F215&lt;1001,INT((L214*0.25+0.99)))))))</f>
        <v>0</v>
      </c>
      <c r="I215" s="144"/>
      <c r="J215" s="66" t="s">
        <v>43</v>
      </c>
      <c r="K215" s="116"/>
      <c r="L215" s="67">
        <f>H215</f>
        <v>0</v>
      </c>
    </row>
    <row r="216" s="1" customFormat="1" ht="25" customHeight="1" spans="1:12">
      <c r="A216" s="127"/>
      <c r="B216" s="106" t="s">
        <v>722</v>
      </c>
      <c r="C216" s="106"/>
      <c r="D216" s="106"/>
      <c r="E216" s="106"/>
      <c r="F216" s="105"/>
      <c r="G216" s="106"/>
      <c r="H216" s="105"/>
      <c r="I216" s="146"/>
      <c r="J216" s="106"/>
      <c r="K216" s="147"/>
      <c r="L216" s="105">
        <f>L214+L215</f>
        <v>1045</v>
      </c>
    </row>
    <row r="217" s="1" customFormat="1" ht="25" customHeight="1" spans="1:12">
      <c r="A217" s="127"/>
      <c r="B217" s="100"/>
      <c r="C217" s="100" t="s">
        <v>444</v>
      </c>
      <c r="D217" s="100"/>
      <c r="E217" s="100"/>
      <c r="F217" s="48" t="s">
        <v>726</v>
      </c>
      <c r="G217" s="52" t="s">
        <v>727</v>
      </c>
      <c r="H217" s="48" t="s">
        <v>728</v>
      </c>
      <c r="I217" s="148">
        <v>0</v>
      </c>
      <c r="J217" s="66" t="s">
        <v>43</v>
      </c>
      <c r="K217" s="116"/>
      <c r="L217" s="67">
        <f>L216*I217</f>
        <v>0</v>
      </c>
    </row>
    <row r="218" s="1" customFormat="1" ht="25" customHeight="1" spans="1:12">
      <c r="A218" s="127"/>
      <c r="B218" s="106" t="s">
        <v>722</v>
      </c>
      <c r="C218" s="106"/>
      <c r="D218" s="106"/>
      <c r="E218" s="106"/>
      <c r="F218" s="105"/>
      <c r="G218" s="106"/>
      <c r="H218" s="105"/>
      <c r="I218" s="146"/>
      <c r="J218" s="106"/>
      <c r="K218" s="147"/>
      <c r="L218" s="105">
        <f>L216+L217</f>
        <v>1045</v>
      </c>
    </row>
    <row r="219" s="1" customFormat="1" ht="25" customHeight="1" spans="1:12">
      <c r="A219" s="127"/>
      <c r="B219" s="52"/>
      <c r="C219" s="100" t="s">
        <v>729</v>
      </c>
      <c r="D219" s="100"/>
      <c r="E219" s="100"/>
      <c r="F219" s="48" t="s">
        <v>730</v>
      </c>
      <c r="G219" s="52" t="s">
        <v>731</v>
      </c>
      <c r="H219" s="48" t="s">
        <v>732</v>
      </c>
      <c r="I219" s="148">
        <v>0.1</v>
      </c>
      <c r="J219" s="66" t="s">
        <v>43</v>
      </c>
      <c r="K219" s="149">
        <v>0</v>
      </c>
      <c r="L219" s="67">
        <f>L218*K219*I219</f>
        <v>0</v>
      </c>
    </row>
    <row r="220" s="1" customFormat="1" ht="25" customHeight="1" spans="1:12">
      <c r="A220" s="127"/>
      <c r="B220" s="106" t="s">
        <v>733</v>
      </c>
      <c r="C220" s="106"/>
      <c r="D220" s="106"/>
      <c r="E220" s="106"/>
      <c r="F220" s="105"/>
      <c r="G220" s="106"/>
      <c r="H220" s="105"/>
      <c r="I220" s="146"/>
      <c r="J220" s="106"/>
      <c r="K220" s="147"/>
      <c r="L220" s="105">
        <f>SUM(L218:L219)</f>
        <v>1045</v>
      </c>
    </row>
    <row r="221" s="1" customFormat="1" ht="17.25" customHeight="1" spans="1:12">
      <c r="A221" s="137"/>
      <c r="B221" s="137"/>
      <c r="C221" s="137"/>
      <c r="D221" s="137"/>
      <c r="E221" s="137"/>
      <c r="F221" s="108"/>
      <c r="G221" s="108"/>
      <c r="H221" s="108"/>
      <c r="I221" s="150"/>
      <c r="J221" s="151"/>
      <c r="K221" s="150"/>
      <c r="L221" s="150"/>
    </row>
    <row r="222" s="1" customFormat="1" ht="17.25" customHeight="1" spans="6:12">
      <c r="F222" s="29"/>
      <c r="H222" s="109"/>
      <c r="I222" s="121"/>
      <c r="K222" s="122"/>
      <c r="L222" s="30"/>
    </row>
    <row r="223" s="1" customFormat="1" ht="17.25" customHeight="1" spans="6:12">
      <c r="F223" s="110"/>
      <c r="H223" s="30"/>
      <c r="I223" s="121"/>
      <c r="K223" s="122"/>
      <c r="L223" s="30"/>
    </row>
    <row r="224" s="1" customFormat="1" ht="17.25" customHeight="1" spans="6:12">
      <c r="F224" s="111"/>
      <c r="H224" s="30"/>
      <c r="I224" s="121"/>
      <c r="K224" s="122"/>
      <c r="L224" s="30"/>
    </row>
  </sheetData>
  <mergeCells count="72">
    <mergeCell ref="B1:L1"/>
    <mergeCell ref="B214:K214"/>
    <mergeCell ref="B216:K216"/>
    <mergeCell ref="B218:K218"/>
    <mergeCell ref="B220:K220"/>
    <mergeCell ref="B3:B57"/>
    <mergeCell ref="B58:B83"/>
    <mergeCell ref="B84:B105"/>
    <mergeCell ref="B106:B107"/>
    <mergeCell ref="B108:B109"/>
    <mergeCell ref="B110:B197"/>
    <mergeCell ref="B198:B209"/>
    <mergeCell ref="B210:B212"/>
    <mergeCell ref="C3:C57"/>
    <mergeCell ref="C93:C97"/>
    <mergeCell ref="C98:C101"/>
    <mergeCell ref="C102:C105"/>
    <mergeCell ref="C110:C119"/>
    <mergeCell ref="C120:C144"/>
    <mergeCell ref="C145:C149"/>
    <mergeCell ref="C150:C151"/>
    <mergeCell ref="C152:C161"/>
    <mergeCell ref="C162:C163"/>
    <mergeCell ref="C164:C166"/>
    <mergeCell ref="C167:C168"/>
    <mergeCell ref="C169:C175"/>
    <mergeCell ref="C176:C188"/>
    <mergeCell ref="C189:C192"/>
    <mergeCell ref="C193:C196"/>
    <mergeCell ref="C198:C209"/>
    <mergeCell ref="D3:D6"/>
    <mergeCell ref="D7:D22"/>
    <mergeCell ref="D23:D37"/>
    <mergeCell ref="D38:D49"/>
    <mergeCell ref="D50:D57"/>
    <mergeCell ref="D93:D97"/>
    <mergeCell ref="D98:D101"/>
    <mergeCell ref="D102:D105"/>
    <mergeCell ref="D189:D192"/>
    <mergeCell ref="D198:D209"/>
    <mergeCell ref="E9:E11"/>
    <mergeCell ref="E23:E25"/>
    <mergeCell ref="E26:E30"/>
    <mergeCell ref="E31:E34"/>
    <mergeCell ref="E39:E40"/>
    <mergeCell ref="E43:E44"/>
    <mergeCell ref="E50:E56"/>
    <mergeCell ref="E93:E97"/>
    <mergeCell ref="E98:E101"/>
    <mergeCell ref="E102:E105"/>
    <mergeCell ref="L3:L6"/>
    <mergeCell ref="L7:L22"/>
    <mergeCell ref="L23:L37"/>
    <mergeCell ref="L38:L49"/>
    <mergeCell ref="L50:L57"/>
    <mergeCell ref="L58:L83"/>
    <mergeCell ref="L84:L105"/>
    <mergeCell ref="L106:L107"/>
    <mergeCell ref="L108:L109"/>
    <mergeCell ref="L110:L119"/>
    <mergeCell ref="L120:L144"/>
    <mergeCell ref="L145:L149"/>
    <mergeCell ref="L150:L151"/>
    <mergeCell ref="L152:L161"/>
    <mergeCell ref="L162:L163"/>
    <mergeCell ref="L164:L166"/>
    <mergeCell ref="L167:L168"/>
    <mergeCell ref="L169:L175"/>
    <mergeCell ref="L176:L188"/>
    <mergeCell ref="L189:L192"/>
    <mergeCell ref="L193:L196"/>
    <mergeCell ref="L198:L209"/>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M225"/>
  <sheetViews>
    <sheetView workbookViewId="0">
      <pane ySplit="2" topLeftCell="A3" activePane="bottomLeft" state="frozen"/>
      <selection/>
      <selection pane="bottomLeft" activeCell="A1" sqref="A1"/>
    </sheetView>
  </sheetViews>
  <sheetFormatPr defaultColWidth="9" defaultRowHeight="16.8"/>
  <cols>
    <col min="1" max="1" width="1.86538461538462" style="28" customWidth="1"/>
    <col min="2" max="2" width="11.4326923076923" style="28" customWidth="1"/>
    <col min="3" max="4" width="14.8653846153846" style="28" customWidth="1"/>
    <col min="5" max="5" width="19.2884615384615" style="28" customWidth="1"/>
    <col min="6" max="6" width="19.2884615384615" style="29" customWidth="1"/>
    <col min="7" max="7" width="44.8653846153846" style="1" customWidth="1"/>
    <col min="8" max="8" width="33.8653846153846" style="30" customWidth="1"/>
    <col min="9" max="9" width="11.1442307692308" style="31" customWidth="1"/>
    <col min="10" max="10" width="9.86538461538461" style="28" customWidth="1"/>
    <col min="11" max="11" width="7.43269230769231" style="32" customWidth="1"/>
    <col min="12" max="12" width="10.2884615384615" style="33" customWidth="1"/>
    <col min="13" max="13" width="12.4326923076923" style="28" customWidth="1"/>
  </cols>
  <sheetData>
    <row r="1" ht="17.25" customHeight="1" spans="1:12">
      <c r="A1" s="34"/>
      <c r="B1" s="35"/>
      <c r="C1" s="35"/>
      <c r="D1" s="35"/>
      <c r="E1" s="35"/>
      <c r="F1" s="49"/>
      <c r="G1" s="50"/>
      <c r="H1" s="49"/>
      <c r="I1" s="61"/>
      <c r="J1" s="35"/>
      <c r="K1" s="62"/>
      <c r="L1" s="63"/>
    </row>
    <row r="2" s="1" customFormat="1" ht="17.25" customHeight="1" spans="1:13">
      <c r="A2" s="36"/>
      <c r="B2" s="4" t="s">
        <v>28</v>
      </c>
      <c r="C2" s="4" t="s">
        <v>29</v>
      </c>
      <c r="D2" s="4" t="s">
        <v>734</v>
      </c>
      <c r="E2" s="4" t="s">
        <v>735</v>
      </c>
      <c r="F2" s="51" t="s">
        <v>30</v>
      </c>
      <c r="G2" s="4" t="s">
        <v>31</v>
      </c>
      <c r="H2" s="51" t="s">
        <v>32</v>
      </c>
      <c r="I2" s="64" t="s">
        <v>33</v>
      </c>
      <c r="J2" s="4" t="s">
        <v>34</v>
      </c>
      <c r="K2" s="65" t="s">
        <v>35</v>
      </c>
      <c r="L2" s="51" t="s">
        <v>36</v>
      </c>
      <c r="M2" s="82"/>
    </row>
    <row r="3" s="1" customFormat="1" ht="25" customHeight="1" spans="1:13">
      <c r="A3" s="36"/>
      <c r="B3" s="37" t="s">
        <v>736</v>
      </c>
      <c r="C3" s="38" t="s">
        <v>737</v>
      </c>
      <c r="D3" s="38" t="s">
        <v>738</v>
      </c>
      <c r="E3" s="52" t="s">
        <v>739</v>
      </c>
      <c r="F3" s="48" t="s">
        <v>739</v>
      </c>
      <c r="G3" s="21"/>
      <c r="H3" s="53"/>
      <c r="I3" s="48">
        <v>0</v>
      </c>
      <c r="J3" s="66" t="s">
        <v>43</v>
      </c>
      <c r="K3" s="67">
        <f t="shared" ref="K3:K66" si="0">IF(J3&lt;&gt;0,I3,0)</f>
        <v>0</v>
      </c>
      <c r="L3" s="68">
        <f>SUM(K3:K6)</f>
        <v>0</v>
      </c>
      <c r="M3" s="82"/>
    </row>
    <row r="4" s="1" customFormat="1" ht="25" customHeight="1" spans="1:13">
      <c r="A4" s="36"/>
      <c r="B4" s="39"/>
      <c r="C4" s="40"/>
      <c r="D4" s="40"/>
      <c r="E4" s="52" t="s">
        <v>596</v>
      </c>
      <c r="F4" s="48" t="s">
        <v>596</v>
      </c>
      <c r="G4" s="21"/>
      <c r="H4" s="53"/>
      <c r="I4" s="48">
        <v>0</v>
      </c>
      <c r="J4" s="66" t="s">
        <v>43</v>
      </c>
      <c r="K4" s="67">
        <f t="shared" si="0"/>
        <v>0</v>
      </c>
      <c r="L4" s="69"/>
      <c r="M4" s="82"/>
    </row>
    <row r="5" s="1" customFormat="1" ht="25" customHeight="1" spans="1:13">
      <c r="A5" s="36"/>
      <c r="B5" s="39"/>
      <c r="C5" s="40"/>
      <c r="D5" s="40"/>
      <c r="E5" s="52" t="s">
        <v>740</v>
      </c>
      <c r="F5" s="48" t="s">
        <v>740</v>
      </c>
      <c r="G5" s="21"/>
      <c r="H5" s="53"/>
      <c r="I5" s="48">
        <v>0</v>
      </c>
      <c r="J5" s="66" t="s">
        <v>43</v>
      </c>
      <c r="K5" s="67">
        <f t="shared" si="0"/>
        <v>0</v>
      </c>
      <c r="L5" s="69"/>
      <c r="M5" s="82"/>
    </row>
    <row r="6" s="1" customFormat="1" ht="25" customHeight="1" spans="1:13">
      <c r="A6" s="36"/>
      <c r="B6" s="39"/>
      <c r="C6" s="40"/>
      <c r="D6" s="40"/>
      <c r="E6" s="52" t="s">
        <v>741</v>
      </c>
      <c r="F6" s="48" t="s">
        <v>741</v>
      </c>
      <c r="G6" s="21"/>
      <c r="H6" s="53"/>
      <c r="I6" s="48">
        <v>0</v>
      </c>
      <c r="J6" s="66" t="s">
        <v>43</v>
      </c>
      <c r="K6" s="67">
        <f t="shared" si="0"/>
        <v>0</v>
      </c>
      <c r="L6" s="70"/>
      <c r="M6" s="82"/>
    </row>
    <row r="7" ht="25" customHeight="1" spans="1:13">
      <c r="A7" s="41"/>
      <c r="B7" s="42"/>
      <c r="C7" s="43"/>
      <c r="D7" s="44" t="s">
        <v>92</v>
      </c>
      <c r="E7" s="52" t="s">
        <v>93</v>
      </c>
      <c r="F7" s="54" t="s">
        <v>94</v>
      </c>
      <c r="G7" s="21" t="s">
        <v>95</v>
      </c>
      <c r="H7" s="53" t="s">
        <v>96</v>
      </c>
      <c r="I7" s="71">
        <v>2</v>
      </c>
      <c r="J7" s="72" t="s">
        <v>43</v>
      </c>
      <c r="K7" s="73">
        <f t="shared" si="0"/>
        <v>2</v>
      </c>
      <c r="L7" s="74">
        <f>SUM(K7:K22)</f>
        <v>44</v>
      </c>
      <c r="M7" s="83"/>
    </row>
    <row r="8" ht="25" customHeight="1" spans="1:13">
      <c r="A8" s="41"/>
      <c r="B8" s="42"/>
      <c r="C8" s="43"/>
      <c r="D8" s="43"/>
      <c r="E8" s="15" t="s">
        <v>119</v>
      </c>
      <c r="F8" s="54" t="s">
        <v>120</v>
      </c>
      <c r="G8" s="21" t="s">
        <v>121</v>
      </c>
      <c r="H8" s="53" t="s">
        <v>122</v>
      </c>
      <c r="I8" s="71">
        <v>2</v>
      </c>
      <c r="J8" s="72" t="s">
        <v>43</v>
      </c>
      <c r="K8" s="73">
        <f t="shared" si="0"/>
        <v>2</v>
      </c>
      <c r="L8" s="75"/>
      <c r="M8" s="83"/>
    </row>
    <row r="9" ht="25" customHeight="1" spans="1:13">
      <c r="A9" s="41"/>
      <c r="B9" s="42"/>
      <c r="C9" s="43"/>
      <c r="D9" s="43"/>
      <c r="E9" s="55" t="s">
        <v>103</v>
      </c>
      <c r="F9" s="54" t="s">
        <v>104</v>
      </c>
      <c r="G9" s="21" t="s">
        <v>105</v>
      </c>
      <c r="H9" s="53" t="s">
        <v>106</v>
      </c>
      <c r="I9" s="71">
        <v>2</v>
      </c>
      <c r="J9" s="72" t="s">
        <v>43</v>
      </c>
      <c r="K9" s="73">
        <f t="shared" si="0"/>
        <v>2</v>
      </c>
      <c r="L9" s="75"/>
      <c r="M9" s="83"/>
    </row>
    <row r="10" ht="25" customHeight="1" spans="1:13">
      <c r="A10" s="41"/>
      <c r="B10" s="42"/>
      <c r="C10" s="43"/>
      <c r="D10" s="43"/>
      <c r="E10" s="15"/>
      <c r="F10" s="54" t="s">
        <v>107</v>
      </c>
      <c r="G10" s="21" t="s">
        <v>108</v>
      </c>
      <c r="H10" s="53" t="s">
        <v>109</v>
      </c>
      <c r="I10" s="71">
        <v>1</v>
      </c>
      <c r="J10" s="72" t="s">
        <v>43</v>
      </c>
      <c r="K10" s="73">
        <f t="shared" si="0"/>
        <v>1</v>
      </c>
      <c r="L10" s="75"/>
      <c r="M10" s="83"/>
    </row>
    <row r="11" ht="25" customHeight="1" spans="1:13">
      <c r="A11" s="41"/>
      <c r="B11" s="42"/>
      <c r="C11" s="43"/>
      <c r="D11" s="43"/>
      <c r="E11" s="15"/>
      <c r="F11" s="54" t="s">
        <v>110</v>
      </c>
      <c r="G11" s="21" t="s">
        <v>111</v>
      </c>
      <c r="H11" s="53"/>
      <c r="I11" s="71">
        <v>3</v>
      </c>
      <c r="J11" s="72" t="s">
        <v>43</v>
      </c>
      <c r="K11" s="73">
        <f t="shared" si="0"/>
        <v>3</v>
      </c>
      <c r="L11" s="75"/>
      <c r="M11" s="83"/>
    </row>
    <row r="12" ht="25" customHeight="1" spans="1:13">
      <c r="A12" s="41"/>
      <c r="B12" s="42"/>
      <c r="C12" s="43"/>
      <c r="D12" s="43"/>
      <c r="E12" s="15" t="s">
        <v>140</v>
      </c>
      <c r="F12" s="54" t="s">
        <v>141</v>
      </c>
      <c r="G12" s="21" t="s">
        <v>142</v>
      </c>
      <c r="H12" s="53" t="s">
        <v>143</v>
      </c>
      <c r="I12" s="71">
        <v>2</v>
      </c>
      <c r="J12" s="72" t="s">
        <v>43</v>
      </c>
      <c r="K12" s="73">
        <f t="shared" si="0"/>
        <v>2</v>
      </c>
      <c r="L12" s="75"/>
      <c r="M12" s="83"/>
    </row>
    <row r="13" ht="25" customHeight="1" spans="1:13">
      <c r="A13" s="41"/>
      <c r="B13" s="42"/>
      <c r="C13" s="43"/>
      <c r="D13" s="43"/>
      <c r="E13" s="15" t="s">
        <v>144</v>
      </c>
      <c r="F13" s="54" t="s">
        <v>145</v>
      </c>
      <c r="G13" s="21" t="s">
        <v>146</v>
      </c>
      <c r="H13" s="53"/>
      <c r="I13" s="71">
        <v>2</v>
      </c>
      <c r="J13" s="72" t="s">
        <v>43</v>
      </c>
      <c r="K13" s="73">
        <f t="shared" si="0"/>
        <v>2</v>
      </c>
      <c r="L13" s="75"/>
      <c r="M13" s="83"/>
    </row>
    <row r="14" ht="25" customHeight="1" spans="1:13">
      <c r="A14" s="41"/>
      <c r="B14" s="42"/>
      <c r="C14" s="43"/>
      <c r="D14" s="43"/>
      <c r="E14" s="15" t="s">
        <v>176</v>
      </c>
      <c r="F14" s="54" t="s">
        <v>177</v>
      </c>
      <c r="G14" s="21" t="s">
        <v>178</v>
      </c>
      <c r="H14" s="53" t="s">
        <v>179</v>
      </c>
      <c r="I14" s="71">
        <v>2</v>
      </c>
      <c r="J14" s="72" t="s">
        <v>43</v>
      </c>
      <c r="K14" s="73">
        <f t="shared" si="0"/>
        <v>2</v>
      </c>
      <c r="L14" s="75"/>
      <c r="M14" s="83"/>
    </row>
    <row r="15" ht="25" customHeight="1" spans="1:13">
      <c r="A15" s="41"/>
      <c r="B15" s="42"/>
      <c r="C15" s="43"/>
      <c r="D15" s="43"/>
      <c r="E15" s="15" t="s">
        <v>180</v>
      </c>
      <c r="F15" s="54" t="s">
        <v>181</v>
      </c>
      <c r="G15" s="21" t="s">
        <v>182</v>
      </c>
      <c r="H15" s="53" t="s">
        <v>183</v>
      </c>
      <c r="I15" s="71">
        <v>3</v>
      </c>
      <c r="J15" s="72" t="s">
        <v>43</v>
      </c>
      <c r="K15" s="73">
        <f t="shared" si="0"/>
        <v>3</v>
      </c>
      <c r="L15" s="75"/>
      <c r="M15" s="83"/>
    </row>
    <row r="16" ht="25" customHeight="1" spans="1:13">
      <c r="A16" s="41"/>
      <c r="B16" s="42"/>
      <c r="C16" s="43"/>
      <c r="D16" s="43"/>
      <c r="E16" s="15" t="s">
        <v>129</v>
      </c>
      <c r="F16" s="54" t="s">
        <v>130</v>
      </c>
      <c r="G16" s="21" t="s">
        <v>131</v>
      </c>
      <c r="H16" s="53" t="s">
        <v>132</v>
      </c>
      <c r="I16" s="71">
        <v>2</v>
      </c>
      <c r="J16" s="72" t="s">
        <v>43</v>
      </c>
      <c r="K16" s="73">
        <f t="shared" si="0"/>
        <v>2</v>
      </c>
      <c r="L16" s="75"/>
      <c r="M16" s="83"/>
    </row>
    <row r="17" ht="25" customHeight="1" spans="1:13">
      <c r="A17" s="41"/>
      <c r="B17" s="42"/>
      <c r="C17" s="43"/>
      <c r="D17" s="43"/>
      <c r="E17" s="15" t="s">
        <v>188</v>
      </c>
      <c r="F17" s="54" t="s">
        <v>189</v>
      </c>
      <c r="G17" s="21" t="s">
        <v>190</v>
      </c>
      <c r="H17" s="53"/>
      <c r="I17" s="71">
        <v>3</v>
      </c>
      <c r="J17" s="72" t="s">
        <v>43</v>
      </c>
      <c r="K17" s="73">
        <f t="shared" si="0"/>
        <v>3</v>
      </c>
      <c r="L17" s="75"/>
      <c r="M17" s="83"/>
    </row>
    <row r="18" ht="25" customHeight="1" spans="1:13">
      <c r="A18" s="41"/>
      <c r="B18" s="42"/>
      <c r="C18" s="43"/>
      <c r="D18" s="43"/>
      <c r="E18" s="15" t="s">
        <v>125</v>
      </c>
      <c r="F18" s="54" t="s">
        <v>126</v>
      </c>
      <c r="G18" s="21" t="s">
        <v>127</v>
      </c>
      <c r="H18" s="53" t="s">
        <v>128</v>
      </c>
      <c r="I18" s="71">
        <v>10</v>
      </c>
      <c r="J18" s="72" t="s">
        <v>43</v>
      </c>
      <c r="K18" s="73">
        <f t="shared" si="0"/>
        <v>10</v>
      </c>
      <c r="L18" s="75"/>
      <c r="M18" s="83"/>
    </row>
    <row r="19" ht="25" customHeight="1" spans="1:13">
      <c r="A19" s="41"/>
      <c r="B19" s="42"/>
      <c r="C19" s="43"/>
      <c r="D19" s="43"/>
      <c r="E19" s="15" t="s">
        <v>97</v>
      </c>
      <c r="F19" s="54" t="s">
        <v>98</v>
      </c>
      <c r="G19" s="21" t="s">
        <v>99</v>
      </c>
      <c r="H19" s="53"/>
      <c r="I19" s="71">
        <v>2</v>
      </c>
      <c r="J19" s="72" t="s">
        <v>43</v>
      </c>
      <c r="K19" s="73">
        <f t="shared" si="0"/>
        <v>2</v>
      </c>
      <c r="L19" s="75"/>
      <c r="M19" s="83"/>
    </row>
    <row r="20" ht="25" customHeight="1" spans="1:13">
      <c r="A20" s="41"/>
      <c r="B20" s="42"/>
      <c r="C20" s="43"/>
      <c r="D20" s="43"/>
      <c r="E20" s="15" t="s">
        <v>184</v>
      </c>
      <c r="F20" s="54" t="s">
        <v>185</v>
      </c>
      <c r="G20" s="21" t="s">
        <v>186</v>
      </c>
      <c r="H20" s="53" t="s">
        <v>187</v>
      </c>
      <c r="I20" s="71">
        <v>2</v>
      </c>
      <c r="J20" s="72" t="s">
        <v>43</v>
      </c>
      <c r="K20" s="73">
        <f t="shared" si="0"/>
        <v>2</v>
      </c>
      <c r="L20" s="75"/>
      <c r="M20" s="83"/>
    </row>
    <row r="21" ht="25" customHeight="1" spans="1:13">
      <c r="A21" s="41"/>
      <c r="B21" s="42"/>
      <c r="C21" s="43"/>
      <c r="D21" s="43"/>
      <c r="E21" s="15" t="s">
        <v>100</v>
      </c>
      <c r="F21" s="54" t="s">
        <v>101</v>
      </c>
      <c r="G21" s="21" t="s">
        <v>102</v>
      </c>
      <c r="H21" s="53"/>
      <c r="I21" s="71">
        <v>1</v>
      </c>
      <c r="J21" s="72" t="s">
        <v>43</v>
      </c>
      <c r="K21" s="73">
        <f t="shared" si="0"/>
        <v>1</v>
      </c>
      <c r="L21" s="75"/>
      <c r="M21" s="83"/>
    </row>
    <row r="22" ht="25" customHeight="1" spans="1:13">
      <c r="A22" s="41"/>
      <c r="B22" s="42"/>
      <c r="C22" s="43"/>
      <c r="D22" s="45"/>
      <c r="E22" s="15" t="s">
        <v>172</v>
      </c>
      <c r="F22" s="54" t="s">
        <v>173</v>
      </c>
      <c r="G22" s="21" t="s">
        <v>174</v>
      </c>
      <c r="H22" s="53" t="s">
        <v>175</v>
      </c>
      <c r="I22" s="71">
        <v>5</v>
      </c>
      <c r="J22" s="72" t="s">
        <v>43</v>
      </c>
      <c r="K22" s="73">
        <f t="shared" si="0"/>
        <v>5</v>
      </c>
      <c r="L22" s="75"/>
      <c r="M22" s="83"/>
    </row>
    <row r="23" ht="25" customHeight="1" spans="1:12">
      <c r="A23" s="41"/>
      <c r="B23" s="42"/>
      <c r="C23" s="43"/>
      <c r="D23" s="44" t="s">
        <v>244</v>
      </c>
      <c r="E23" s="55" t="s">
        <v>281</v>
      </c>
      <c r="F23" s="54" t="s">
        <v>282</v>
      </c>
      <c r="G23" s="21" t="s">
        <v>283</v>
      </c>
      <c r="H23" s="53"/>
      <c r="I23" s="71">
        <v>3</v>
      </c>
      <c r="J23" s="72" t="s">
        <v>43</v>
      </c>
      <c r="K23" s="75">
        <f t="shared" si="0"/>
        <v>3</v>
      </c>
      <c r="L23" s="76">
        <f>SUM(K23:K37)</f>
        <v>42</v>
      </c>
    </row>
    <row r="24" ht="25" customHeight="1" spans="1:12">
      <c r="A24" s="41"/>
      <c r="B24" s="42"/>
      <c r="C24" s="43"/>
      <c r="D24" s="43"/>
      <c r="E24" s="15"/>
      <c r="F24" s="54" t="s">
        <v>284</v>
      </c>
      <c r="G24" s="21" t="s">
        <v>285</v>
      </c>
      <c r="H24" s="53"/>
      <c r="I24" s="71">
        <v>2</v>
      </c>
      <c r="J24" s="72" t="s">
        <v>43</v>
      </c>
      <c r="K24" s="75">
        <f t="shared" si="0"/>
        <v>2</v>
      </c>
      <c r="L24" s="77"/>
    </row>
    <row r="25" ht="25" customHeight="1" spans="1:12">
      <c r="A25" s="41"/>
      <c r="B25" s="42"/>
      <c r="C25" s="43"/>
      <c r="D25" s="43"/>
      <c r="E25" s="15"/>
      <c r="F25" s="54" t="s">
        <v>286</v>
      </c>
      <c r="G25" s="21" t="s">
        <v>287</v>
      </c>
      <c r="H25" s="53"/>
      <c r="I25" s="71">
        <v>3</v>
      </c>
      <c r="J25" s="72" t="s">
        <v>43</v>
      </c>
      <c r="K25" s="75">
        <f t="shared" si="0"/>
        <v>3</v>
      </c>
      <c r="L25" s="77"/>
    </row>
    <row r="26" ht="25" customHeight="1" spans="1:12">
      <c r="A26" s="41"/>
      <c r="B26" s="42"/>
      <c r="C26" s="43"/>
      <c r="D26" s="43"/>
      <c r="E26" s="55" t="s">
        <v>262</v>
      </c>
      <c r="F26" s="54" t="s">
        <v>263</v>
      </c>
      <c r="G26" s="21" t="s">
        <v>264</v>
      </c>
      <c r="H26" s="53"/>
      <c r="I26" s="71">
        <v>2</v>
      </c>
      <c r="J26" s="72" t="s">
        <v>43</v>
      </c>
      <c r="K26" s="75">
        <f t="shared" si="0"/>
        <v>2</v>
      </c>
      <c r="L26" s="77"/>
    </row>
    <row r="27" ht="25" customHeight="1" spans="1:12">
      <c r="A27" s="41"/>
      <c r="B27" s="42"/>
      <c r="C27" s="43"/>
      <c r="D27" s="43"/>
      <c r="E27" s="15"/>
      <c r="F27" s="54" t="s">
        <v>265</v>
      </c>
      <c r="G27" s="21" t="s">
        <v>266</v>
      </c>
      <c r="H27" s="53"/>
      <c r="I27" s="71">
        <v>2</v>
      </c>
      <c r="J27" s="72" t="s">
        <v>43</v>
      </c>
      <c r="K27" s="75">
        <f t="shared" si="0"/>
        <v>2</v>
      </c>
      <c r="L27" s="77"/>
    </row>
    <row r="28" ht="25" customHeight="1" spans="1:12">
      <c r="A28" s="41"/>
      <c r="B28" s="42"/>
      <c r="C28" s="43"/>
      <c r="D28" s="43"/>
      <c r="E28" s="15"/>
      <c r="F28" s="54" t="s">
        <v>267</v>
      </c>
      <c r="G28" s="21" t="s">
        <v>268</v>
      </c>
      <c r="H28" s="53"/>
      <c r="I28" s="71">
        <v>3</v>
      </c>
      <c r="J28" s="72" t="s">
        <v>43</v>
      </c>
      <c r="K28" s="75">
        <f t="shared" si="0"/>
        <v>3</v>
      </c>
      <c r="L28" s="77"/>
    </row>
    <row r="29" ht="25" customHeight="1" spans="1:12">
      <c r="A29" s="41"/>
      <c r="B29" s="42"/>
      <c r="C29" s="43"/>
      <c r="D29" s="43"/>
      <c r="E29" s="15"/>
      <c r="F29" s="54" t="s">
        <v>269</v>
      </c>
      <c r="G29" s="21" t="s">
        <v>270</v>
      </c>
      <c r="H29" s="53"/>
      <c r="I29" s="71">
        <v>2</v>
      </c>
      <c r="J29" s="72" t="s">
        <v>43</v>
      </c>
      <c r="K29" s="75">
        <f t="shared" si="0"/>
        <v>2</v>
      </c>
      <c r="L29" s="77"/>
    </row>
    <row r="30" ht="25" customHeight="1" spans="1:12">
      <c r="A30" s="41"/>
      <c r="B30" s="42"/>
      <c r="C30" s="43"/>
      <c r="D30" s="43"/>
      <c r="E30" s="15"/>
      <c r="F30" s="54" t="s">
        <v>271</v>
      </c>
      <c r="G30" s="21" t="s">
        <v>272</v>
      </c>
      <c r="H30" s="53" t="s">
        <v>255</v>
      </c>
      <c r="I30" s="71">
        <v>3</v>
      </c>
      <c r="J30" s="72" t="s">
        <v>43</v>
      </c>
      <c r="K30" s="75">
        <f t="shared" si="0"/>
        <v>3</v>
      </c>
      <c r="L30" s="77"/>
    </row>
    <row r="31" ht="25" customHeight="1" spans="1:12">
      <c r="A31" s="41"/>
      <c r="B31" s="42"/>
      <c r="C31" s="43"/>
      <c r="D31" s="43"/>
      <c r="E31" s="55" t="s">
        <v>245</v>
      </c>
      <c r="F31" s="54" t="s">
        <v>246</v>
      </c>
      <c r="G31" s="21" t="s">
        <v>247</v>
      </c>
      <c r="H31" s="53"/>
      <c r="I31" s="71">
        <v>2</v>
      </c>
      <c r="J31" s="72" t="s">
        <v>43</v>
      </c>
      <c r="K31" s="75">
        <f t="shared" si="0"/>
        <v>2</v>
      </c>
      <c r="L31" s="77"/>
    </row>
    <row r="32" ht="25" customHeight="1" spans="1:12">
      <c r="A32" s="41"/>
      <c r="B32" s="42"/>
      <c r="C32" s="43"/>
      <c r="D32" s="43"/>
      <c r="E32" s="15"/>
      <c r="F32" s="54" t="s">
        <v>248</v>
      </c>
      <c r="G32" s="21" t="s">
        <v>249</v>
      </c>
      <c r="H32" s="53"/>
      <c r="I32" s="71">
        <v>3</v>
      </c>
      <c r="J32" s="72" t="s">
        <v>43</v>
      </c>
      <c r="K32" s="75">
        <f t="shared" si="0"/>
        <v>3</v>
      </c>
      <c r="L32" s="77"/>
    </row>
    <row r="33" ht="25" customHeight="1" spans="1:12">
      <c r="A33" s="41"/>
      <c r="B33" s="42"/>
      <c r="C33" s="43"/>
      <c r="D33" s="43"/>
      <c r="E33" s="15"/>
      <c r="F33" s="54" t="s">
        <v>250</v>
      </c>
      <c r="G33" s="21" t="s">
        <v>251</v>
      </c>
      <c r="H33" s="53" t="s">
        <v>252</v>
      </c>
      <c r="I33" s="71">
        <v>3</v>
      </c>
      <c r="J33" s="72" t="s">
        <v>43</v>
      </c>
      <c r="K33" s="75">
        <f t="shared" si="0"/>
        <v>3</v>
      </c>
      <c r="L33" s="77"/>
    </row>
    <row r="34" ht="25" customHeight="1" spans="1:12">
      <c r="A34" s="41"/>
      <c r="B34" s="42"/>
      <c r="C34" s="43"/>
      <c r="D34" s="43"/>
      <c r="E34" s="15"/>
      <c r="F34" s="54" t="s">
        <v>253</v>
      </c>
      <c r="G34" s="21" t="s">
        <v>254</v>
      </c>
      <c r="H34" s="53" t="s">
        <v>255</v>
      </c>
      <c r="I34" s="71">
        <v>3</v>
      </c>
      <c r="J34" s="72" t="s">
        <v>43</v>
      </c>
      <c r="K34" s="75">
        <f t="shared" si="0"/>
        <v>3</v>
      </c>
      <c r="L34" s="77"/>
    </row>
    <row r="35" ht="25" customHeight="1" spans="1:12">
      <c r="A35" s="41"/>
      <c r="B35" s="42"/>
      <c r="C35" s="43"/>
      <c r="D35" s="43"/>
      <c r="E35" s="15" t="s">
        <v>297</v>
      </c>
      <c r="F35" s="54" t="s">
        <v>742</v>
      </c>
      <c r="G35" s="21" t="s">
        <v>299</v>
      </c>
      <c r="H35" s="53"/>
      <c r="I35" s="71">
        <v>3</v>
      </c>
      <c r="J35" s="72" t="s">
        <v>43</v>
      </c>
      <c r="K35" s="75">
        <f t="shared" si="0"/>
        <v>3</v>
      </c>
      <c r="L35" s="77"/>
    </row>
    <row r="36" ht="25" customHeight="1" spans="1:12">
      <c r="A36" s="41"/>
      <c r="B36" s="42"/>
      <c r="C36" s="43"/>
      <c r="D36" s="43"/>
      <c r="E36" s="15" t="s">
        <v>295</v>
      </c>
      <c r="F36" s="54" t="s">
        <v>295</v>
      </c>
      <c r="G36" s="21" t="s">
        <v>296</v>
      </c>
      <c r="H36" s="53"/>
      <c r="I36" s="71">
        <v>3</v>
      </c>
      <c r="J36" s="72" t="s">
        <v>43</v>
      </c>
      <c r="K36" s="75">
        <f t="shared" si="0"/>
        <v>3</v>
      </c>
      <c r="L36" s="77"/>
    </row>
    <row r="37" ht="25" customHeight="1" spans="1:12">
      <c r="A37" s="41"/>
      <c r="B37" s="42"/>
      <c r="C37" s="43"/>
      <c r="D37" s="45"/>
      <c r="E37" s="15" t="s">
        <v>291</v>
      </c>
      <c r="F37" s="54" t="s">
        <v>292</v>
      </c>
      <c r="G37" s="21" t="s">
        <v>293</v>
      </c>
      <c r="H37" s="53" t="s">
        <v>294</v>
      </c>
      <c r="I37" s="71">
        <v>5</v>
      </c>
      <c r="J37" s="72" t="s">
        <v>43</v>
      </c>
      <c r="K37" s="75">
        <f t="shared" si="0"/>
        <v>5</v>
      </c>
      <c r="L37" s="77"/>
    </row>
    <row r="38" ht="25" customHeight="1" spans="1:12">
      <c r="A38" s="41"/>
      <c r="B38" s="42"/>
      <c r="C38" s="43"/>
      <c r="D38" s="44" t="s">
        <v>332</v>
      </c>
      <c r="E38" s="15" t="s">
        <v>333</v>
      </c>
      <c r="F38" s="54" t="s">
        <v>334</v>
      </c>
      <c r="G38" s="21" t="s">
        <v>335</v>
      </c>
      <c r="H38" s="53" t="s">
        <v>336</v>
      </c>
      <c r="I38" s="48">
        <v>7</v>
      </c>
      <c r="J38" s="72" t="s">
        <v>43</v>
      </c>
      <c r="K38" s="75">
        <f t="shared" si="0"/>
        <v>7</v>
      </c>
      <c r="L38" s="78">
        <f>SUM(K38:K49)</f>
        <v>84</v>
      </c>
    </row>
    <row r="39" ht="25" customHeight="1" spans="1:12">
      <c r="A39" s="41"/>
      <c r="B39" s="42"/>
      <c r="C39" s="43"/>
      <c r="D39" s="43"/>
      <c r="E39" s="55" t="s">
        <v>338</v>
      </c>
      <c r="F39" s="54" t="s">
        <v>338</v>
      </c>
      <c r="G39" s="21" t="s">
        <v>339</v>
      </c>
      <c r="H39" s="53" t="s">
        <v>340</v>
      </c>
      <c r="I39" s="48">
        <v>2</v>
      </c>
      <c r="J39" s="72" t="s">
        <v>43</v>
      </c>
      <c r="K39" s="75">
        <f t="shared" si="0"/>
        <v>2</v>
      </c>
      <c r="L39" s="77"/>
    </row>
    <row r="40" ht="25" customHeight="1" spans="1:12">
      <c r="A40" s="41"/>
      <c r="B40" s="42"/>
      <c r="C40" s="43"/>
      <c r="D40" s="43"/>
      <c r="E40" s="15"/>
      <c r="F40" s="54" t="s">
        <v>342</v>
      </c>
      <c r="G40" s="21" t="s">
        <v>343</v>
      </c>
      <c r="H40" s="53" t="s">
        <v>344</v>
      </c>
      <c r="I40" s="48">
        <v>2</v>
      </c>
      <c r="J40" s="72" t="s">
        <v>43</v>
      </c>
      <c r="K40" s="75">
        <f t="shared" si="0"/>
        <v>2</v>
      </c>
      <c r="L40" s="77"/>
    </row>
    <row r="41" ht="25" customHeight="1" spans="1:12">
      <c r="A41" s="41"/>
      <c r="B41" s="42"/>
      <c r="C41" s="43"/>
      <c r="D41" s="43"/>
      <c r="E41" s="15" t="s">
        <v>346</v>
      </c>
      <c r="F41" s="54" t="s">
        <v>347</v>
      </c>
      <c r="G41" s="21" t="s">
        <v>348</v>
      </c>
      <c r="H41" s="53" t="s">
        <v>349</v>
      </c>
      <c r="I41" s="48">
        <v>12</v>
      </c>
      <c r="J41" s="72" t="s">
        <v>43</v>
      </c>
      <c r="K41" s="75">
        <f t="shared" si="0"/>
        <v>12</v>
      </c>
      <c r="L41" s="77"/>
    </row>
    <row r="42" ht="25" customHeight="1" spans="1:12">
      <c r="A42" s="41"/>
      <c r="B42" s="42"/>
      <c r="C42" s="43"/>
      <c r="D42" s="43"/>
      <c r="E42" s="15" t="s">
        <v>353</v>
      </c>
      <c r="F42" s="54" t="s">
        <v>354</v>
      </c>
      <c r="G42" s="21" t="s">
        <v>355</v>
      </c>
      <c r="H42" s="53" t="s">
        <v>356</v>
      </c>
      <c r="I42" s="48">
        <v>8</v>
      </c>
      <c r="J42" s="72" t="s">
        <v>43</v>
      </c>
      <c r="K42" s="75">
        <f t="shared" si="0"/>
        <v>8</v>
      </c>
      <c r="L42" s="77"/>
    </row>
    <row r="43" ht="25" customHeight="1" spans="1:12">
      <c r="A43" s="41"/>
      <c r="B43" s="42"/>
      <c r="C43" s="43"/>
      <c r="D43" s="43"/>
      <c r="E43" s="55" t="s">
        <v>367</v>
      </c>
      <c r="F43" s="54" t="s">
        <v>368</v>
      </c>
      <c r="G43" s="21" t="s">
        <v>369</v>
      </c>
      <c r="H43" s="53" t="s">
        <v>370</v>
      </c>
      <c r="I43" s="48">
        <v>15</v>
      </c>
      <c r="J43" s="72" t="s">
        <v>43</v>
      </c>
      <c r="K43" s="75">
        <f t="shared" si="0"/>
        <v>15</v>
      </c>
      <c r="L43" s="77"/>
    </row>
    <row r="44" ht="25" customHeight="1" spans="1:12">
      <c r="A44" s="41"/>
      <c r="B44" s="42"/>
      <c r="C44" s="43"/>
      <c r="D44" s="43"/>
      <c r="E44" s="15"/>
      <c r="F44" s="54" t="s">
        <v>372</v>
      </c>
      <c r="G44" s="21" t="s">
        <v>373</v>
      </c>
      <c r="H44" s="53" t="s">
        <v>374</v>
      </c>
      <c r="I44" s="48">
        <v>1</v>
      </c>
      <c r="J44" s="72" t="s">
        <v>43</v>
      </c>
      <c r="K44" s="75">
        <f t="shared" si="0"/>
        <v>1</v>
      </c>
      <c r="L44" s="77"/>
    </row>
    <row r="45" ht="25" customHeight="1" spans="1:12">
      <c r="A45" s="41"/>
      <c r="B45" s="42"/>
      <c r="C45" s="43"/>
      <c r="D45" s="43"/>
      <c r="E45" s="15" t="s">
        <v>358</v>
      </c>
      <c r="F45" s="54" t="s">
        <v>359</v>
      </c>
      <c r="G45" s="21" t="s">
        <v>360</v>
      </c>
      <c r="H45" s="53" t="s">
        <v>361</v>
      </c>
      <c r="I45" s="48">
        <v>2</v>
      </c>
      <c r="J45" s="72" t="s">
        <v>43</v>
      </c>
      <c r="K45" s="75">
        <f t="shared" si="0"/>
        <v>2</v>
      </c>
      <c r="L45" s="77"/>
    </row>
    <row r="46" ht="25" customHeight="1" spans="1:12">
      <c r="A46" s="41"/>
      <c r="B46" s="42"/>
      <c r="C46" s="43"/>
      <c r="D46" s="43"/>
      <c r="E46" s="15" t="s">
        <v>363</v>
      </c>
      <c r="F46" s="54" t="s">
        <v>364</v>
      </c>
      <c r="G46" s="21" t="s">
        <v>365</v>
      </c>
      <c r="H46" s="53" t="s">
        <v>366</v>
      </c>
      <c r="I46" s="48">
        <v>6</v>
      </c>
      <c r="J46" s="72" t="s">
        <v>43</v>
      </c>
      <c r="K46" s="75">
        <f t="shared" si="0"/>
        <v>6</v>
      </c>
      <c r="L46" s="77"/>
    </row>
    <row r="47" ht="25" customHeight="1" spans="1:12">
      <c r="A47" s="41"/>
      <c r="B47" s="42"/>
      <c r="C47" s="43"/>
      <c r="D47" s="43"/>
      <c r="E47" s="15" t="s">
        <v>195</v>
      </c>
      <c r="F47" s="54" t="s">
        <v>196</v>
      </c>
      <c r="G47" s="21" t="s">
        <v>197</v>
      </c>
      <c r="H47" s="53"/>
      <c r="I47" s="48">
        <v>10</v>
      </c>
      <c r="J47" s="72" t="s">
        <v>43</v>
      </c>
      <c r="K47" s="75">
        <f t="shared" si="0"/>
        <v>10</v>
      </c>
      <c r="L47" s="77"/>
    </row>
    <row r="48" ht="25" customHeight="1" spans="1:12">
      <c r="A48" s="41"/>
      <c r="B48" s="42"/>
      <c r="C48" s="43"/>
      <c r="D48" s="43"/>
      <c r="E48" s="15" t="s">
        <v>203</v>
      </c>
      <c r="F48" s="54" t="s">
        <v>204</v>
      </c>
      <c r="G48" s="21" t="s">
        <v>205</v>
      </c>
      <c r="H48" s="53"/>
      <c r="I48" s="48">
        <v>16</v>
      </c>
      <c r="J48" s="72" t="s">
        <v>43</v>
      </c>
      <c r="K48" s="75">
        <f t="shared" si="0"/>
        <v>16</v>
      </c>
      <c r="L48" s="77"/>
    </row>
    <row r="49" ht="25" customHeight="1" spans="1:12">
      <c r="A49" s="41"/>
      <c r="B49" s="42"/>
      <c r="C49" s="43"/>
      <c r="D49" s="45"/>
      <c r="E49" s="15" t="s">
        <v>198</v>
      </c>
      <c r="F49" s="54" t="s">
        <v>199</v>
      </c>
      <c r="G49" s="21" t="s">
        <v>200</v>
      </c>
      <c r="H49" s="53"/>
      <c r="I49" s="48">
        <v>3</v>
      </c>
      <c r="J49" s="72" t="s">
        <v>43</v>
      </c>
      <c r="K49" s="75">
        <f t="shared" si="0"/>
        <v>3</v>
      </c>
      <c r="L49" s="79"/>
    </row>
    <row r="50" ht="25" customHeight="1" spans="1:12">
      <c r="A50" s="41"/>
      <c r="B50" s="42"/>
      <c r="C50" s="43"/>
      <c r="D50" s="44" t="s">
        <v>378</v>
      </c>
      <c r="E50" s="55" t="s">
        <v>379</v>
      </c>
      <c r="F50" s="54" t="s">
        <v>380</v>
      </c>
      <c r="G50" s="21" t="s">
        <v>381</v>
      </c>
      <c r="H50" s="53" t="s">
        <v>382</v>
      </c>
      <c r="I50" s="48">
        <v>1</v>
      </c>
      <c r="J50" s="72" t="s">
        <v>43</v>
      </c>
      <c r="K50" s="75">
        <f t="shared" si="0"/>
        <v>1</v>
      </c>
      <c r="L50" s="74">
        <f>SUM(K50:K57)</f>
        <v>6</v>
      </c>
    </row>
    <row r="51" ht="25" customHeight="1" spans="1:12">
      <c r="A51" s="41"/>
      <c r="B51" s="42"/>
      <c r="C51" s="43"/>
      <c r="D51" s="43"/>
      <c r="E51" s="15"/>
      <c r="F51" s="54" t="s">
        <v>383</v>
      </c>
      <c r="G51" s="21" t="s">
        <v>384</v>
      </c>
      <c r="H51" s="53"/>
      <c r="I51" s="48">
        <v>1</v>
      </c>
      <c r="J51" s="72" t="s">
        <v>43</v>
      </c>
      <c r="K51" s="75">
        <f t="shared" si="0"/>
        <v>1</v>
      </c>
      <c r="L51" s="75"/>
    </row>
    <row r="52" ht="25" customHeight="1" spans="1:12">
      <c r="A52" s="41"/>
      <c r="B52" s="42"/>
      <c r="C52" s="43"/>
      <c r="D52" s="43"/>
      <c r="E52" s="15"/>
      <c r="F52" s="54" t="s">
        <v>386</v>
      </c>
      <c r="G52" s="21" t="s">
        <v>387</v>
      </c>
      <c r="H52" s="53"/>
      <c r="I52" s="48">
        <v>1</v>
      </c>
      <c r="J52" s="72" t="s">
        <v>43</v>
      </c>
      <c r="K52" s="75">
        <f t="shared" si="0"/>
        <v>1</v>
      </c>
      <c r="L52" s="75"/>
    </row>
    <row r="53" ht="25" customHeight="1" spans="1:12">
      <c r="A53" s="41"/>
      <c r="B53" s="42"/>
      <c r="C53" s="43"/>
      <c r="D53" s="43"/>
      <c r="E53" s="15"/>
      <c r="F53" s="54" t="s">
        <v>388</v>
      </c>
      <c r="G53" s="21" t="s">
        <v>389</v>
      </c>
      <c r="H53" s="53"/>
      <c r="I53" s="48">
        <v>1</v>
      </c>
      <c r="J53" s="72" t="s">
        <v>43</v>
      </c>
      <c r="K53" s="75">
        <f t="shared" si="0"/>
        <v>1</v>
      </c>
      <c r="L53" s="75"/>
    </row>
    <row r="54" ht="25" customHeight="1" spans="1:12">
      <c r="A54" s="41"/>
      <c r="B54" s="42"/>
      <c r="C54" s="43"/>
      <c r="D54" s="43"/>
      <c r="E54" s="15"/>
      <c r="F54" s="54" t="s">
        <v>390</v>
      </c>
      <c r="G54" s="21" t="s">
        <v>391</v>
      </c>
      <c r="H54" s="53"/>
      <c r="I54" s="48">
        <v>1</v>
      </c>
      <c r="J54" s="72" t="s">
        <v>43</v>
      </c>
      <c r="K54" s="75">
        <f t="shared" si="0"/>
        <v>1</v>
      </c>
      <c r="L54" s="75"/>
    </row>
    <row r="55" ht="25" customHeight="1" spans="1:12">
      <c r="A55" s="41"/>
      <c r="B55" s="42"/>
      <c r="C55" s="43"/>
      <c r="D55" s="43"/>
      <c r="E55" s="15"/>
      <c r="F55" s="54" t="s">
        <v>392</v>
      </c>
      <c r="G55" s="21" t="s">
        <v>393</v>
      </c>
      <c r="H55" s="53"/>
      <c r="I55" s="48">
        <v>0</v>
      </c>
      <c r="J55" s="72" t="s">
        <v>43</v>
      </c>
      <c r="K55" s="75">
        <f t="shared" si="0"/>
        <v>0</v>
      </c>
      <c r="L55" s="75"/>
    </row>
    <row r="56" ht="25" customHeight="1" spans="1:12">
      <c r="A56" s="41"/>
      <c r="B56" s="42"/>
      <c r="C56" s="43"/>
      <c r="D56" s="43"/>
      <c r="E56" s="15"/>
      <c r="F56" s="54" t="s">
        <v>395</v>
      </c>
      <c r="G56" s="21" t="s">
        <v>396</v>
      </c>
      <c r="H56" s="53"/>
      <c r="I56" s="48">
        <v>0</v>
      </c>
      <c r="J56" s="72" t="s">
        <v>43</v>
      </c>
      <c r="K56" s="75">
        <f t="shared" si="0"/>
        <v>0</v>
      </c>
      <c r="L56" s="75"/>
    </row>
    <row r="57" ht="25" customHeight="1" spans="1:12">
      <c r="A57" s="41"/>
      <c r="B57" s="42"/>
      <c r="C57" s="43"/>
      <c r="D57" s="45"/>
      <c r="E57" s="15" t="s">
        <v>398</v>
      </c>
      <c r="F57" s="54" t="s">
        <v>398</v>
      </c>
      <c r="G57" s="21" t="s">
        <v>399</v>
      </c>
      <c r="H57" s="53"/>
      <c r="I57" s="48">
        <v>1</v>
      </c>
      <c r="J57" s="72" t="s">
        <v>43</v>
      </c>
      <c r="K57" s="75">
        <f t="shared" si="0"/>
        <v>1</v>
      </c>
      <c r="L57" s="75"/>
    </row>
    <row r="58" ht="25" customHeight="1" spans="1:13">
      <c r="A58" s="46"/>
      <c r="B58" s="42"/>
      <c r="C58" s="43"/>
      <c r="D58" s="47" t="s">
        <v>743</v>
      </c>
      <c r="E58" s="52" t="s">
        <v>112</v>
      </c>
      <c r="F58" s="54" t="s">
        <v>113</v>
      </c>
      <c r="G58" s="56" t="s">
        <v>114</v>
      </c>
      <c r="H58" s="57" t="s">
        <v>115</v>
      </c>
      <c r="I58" s="80">
        <v>1</v>
      </c>
      <c r="J58" s="72" t="s">
        <v>43</v>
      </c>
      <c r="K58" s="75">
        <f t="shared" si="0"/>
        <v>1</v>
      </c>
      <c r="L58" s="78">
        <f>SUM(K58:K83)</f>
        <v>134</v>
      </c>
      <c r="M58" s="84"/>
    </row>
    <row r="59" ht="25" customHeight="1" spans="1:13">
      <c r="A59" s="46"/>
      <c r="B59" s="42"/>
      <c r="C59" s="43"/>
      <c r="D59" s="48"/>
      <c r="E59" s="52" t="s">
        <v>133</v>
      </c>
      <c r="F59" s="54" t="s">
        <v>134</v>
      </c>
      <c r="G59" s="56" t="s">
        <v>135</v>
      </c>
      <c r="H59" s="57" t="s">
        <v>136</v>
      </c>
      <c r="I59" s="80">
        <v>8</v>
      </c>
      <c r="J59" s="72" t="s">
        <v>43</v>
      </c>
      <c r="K59" s="75">
        <f t="shared" si="0"/>
        <v>8</v>
      </c>
      <c r="L59" s="77"/>
      <c r="M59" s="84"/>
    </row>
    <row r="60" ht="25" customHeight="1" spans="1:13">
      <c r="A60" s="46"/>
      <c r="B60" s="42"/>
      <c r="C60" s="43"/>
      <c r="D60" s="48"/>
      <c r="E60" s="52" t="s">
        <v>137</v>
      </c>
      <c r="F60" s="58" t="s">
        <v>138</v>
      </c>
      <c r="G60" s="59" t="s">
        <v>139</v>
      </c>
      <c r="H60" s="60"/>
      <c r="I60" s="81">
        <v>2</v>
      </c>
      <c r="J60" s="72" t="s">
        <v>43</v>
      </c>
      <c r="K60" s="75">
        <f t="shared" si="0"/>
        <v>2</v>
      </c>
      <c r="L60" s="77"/>
      <c r="M60" s="84"/>
    </row>
    <row r="61" ht="25" customHeight="1" spans="1:13">
      <c r="A61" s="46"/>
      <c r="B61" s="42"/>
      <c r="C61" s="43"/>
      <c r="D61" s="48"/>
      <c r="E61" s="52" t="s">
        <v>147</v>
      </c>
      <c r="F61" s="54" t="s">
        <v>148</v>
      </c>
      <c r="G61" s="56" t="s">
        <v>149</v>
      </c>
      <c r="H61" s="57" t="s">
        <v>150</v>
      </c>
      <c r="I61" s="80">
        <v>3</v>
      </c>
      <c r="J61" s="72" t="s">
        <v>43</v>
      </c>
      <c r="K61" s="75">
        <f t="shared" si="0"/>
        <v>3</v>
      </c>
      <c r="L61" s="77"/>
      <c r="M61" s="84"/>
    </row>
    <row r="62" ht="25" customHeight="1" spans="1:13">
      <c r="A62" s="46"/>
      <c r="B62" s="42"/>
      <c r="C62" s="43"/>
      <c r="D62" s="48"/>
      <c r="E62" s="52" t="s">
        <v>151</v>
      </c>
      <c r="F62" s="54" t="s">
        <v>152</v>
      </c>
      <c r="G62" s="56" t="s">
        <v>153</v>
      </c>
      <c r="H62" s="57"/>
      <c r="I62" s="80">
        <v>1</v>
      </c>
      <c r="J62" s="72" t="s">
        <v>43</v>
      </c>
      <c r="K62" s="75">
        <f t="shared" si="0"/>
        <v>1</v>
      </c>
      <c r="L62" s="77"/>
      <c r="M62" s="84"/>
    </row>
    <row r="63" ht="25" customHeight="1" spans="1:13">
      <c r="A63" s="46"/>
      <c r="B63" s="42"/>
      <c r="C63" s="43"/>
      <c r="D63" s="48"/>
      <c r="E63" s="52" t="s">
        <v>154</v>
      </c>
      <c r="F63" s="58" t="s">
        <v>155</v>
      </c>
      <c r="G63" s="59" t="s">
        <v>156</v>
      </c>
      <c r="H63" s="60"/>
      <c r="I63" s="81">
        <v>1</v>
      </c>
      <c r="J63" s="72" t="s">
        <v>43</v>
      </c>
      <c r="K63" s="75">
        <f t="shared" si="0"/>
        <v>1</v>
      </c>
      <c r="L63" s="77"/>
      <c r="M63" s="84"/>
    </row>
    <row r="64" ht="25" customHeight="1" spans="1:13">
      <c r="A64" s="46"/>
      <c r="B64" s="42"/>
      <c r="C64" s="43"/>
      <c r="D64" s="48"/>
      <c r="E64" s="52" t="s">
        <v>157</v>
      </c>
      <c r="F64" s="58" t="s">
        <v>158</v>
      </c>
      <c r="G64" s="59" t="s">
        <v>159</v>
      </c>
      <c r="H64" s="60"/>
      <c r="I64" s="81">
        <v>2</v>
      </c>
      <c r="J64" s="72" t="s">
        <v>43</v>
      </c>
      <c r="K64" s="75">
        <f t="shared" si="0"/>
        <v>2</v>
      </c>
      <c r="L64" s="77"/>
      <c r="M64" s="84"/>
    </row>
    <row r="65" ht="25" customHeight="1" spans="1:13">
      <c r="A65" s="46"/>
      <c r="B65" s="42"/>
      <c r="C65" s="43"/>
      <c r="D65" s="48"/>
      <c r="E65" s="52" t="s">
        <v>160</v>
      </c>
      <c r="F65" s="58" t="s">
        <v>161</v>
      </c>
      <c r="G65" s="59" t="s">
        <v>162</v>
      </c>
      <c r="H65" s="60"/>
      <c r="I65" s="81">
        <v>8</v>
      </c>
      <c r="J65" s="72" t="s">
        <v>43</v>
      </c>
      <c r="K65" s="75">
        <f t="shared" si="0"/>
        <v>8</v>
      </c>
      <c r="L65" s="77"/>
      <c r="M65" s="84"/>
    </row>
    <row r="66" ht="25" customHeight="1" spans="1:13">
      <c r="A66" s="46"/>
      <c r="B66" s="42"/>
      <c r="C66" s="43"/>
      <c r="D66" s="48"/>
      <c r="E66" s="52" t="s">
        <v>163</v>
      </c>
      <c r="F66" s="58" t="s">
        <v>164</v>
      </c>
      <c r="G66" s="59" t="s">
        <v>165</v>
      </c>
      <c r="H66" s="60"/>
      <c r="I66" s="81">
        <v>3</v>
      </c>
      <c r="J66" s="72" t="s">
        <v>43</v>
      </c>
      <c r="K66" s="75">
        <f t="shared" si="0"/>
        <v>3</v>
      </c>
      <c r="L66" s="77"/>
      <c r="M66" s="84"/>
    </row>
    <row r="67" ht="25" customHeight="1" spans="1:13">
      <c r="A67" s="46"/>
      <c r="B67" s="42"/>
      <c r="C67" s="43"/>
      <c r="D67" s="48"/>
      <c r="E67" s="88" t="s">
        <v>166</v>
      </c>
      <c r="F67" s="48" t="s">
        <v>167</v>
      </c>
      <c r="G67" s="56" t="s">
        <v>168</v>
      </c>
      <c r="H67" s="60"/>
      <c r="I67" s="81">
        <v>4</v>
      </c>
      <c r="J67" s="72" t="s">
        <v>43</v>
      </c>
      <c r="K67" s="75">
        <f t="shared" ref="K67:K130" si="1">IF(J67&lt;&gt;0,I67,0)</f>
        <v>4</v>
      </c>
      <c r="L67" s="77"/>
      <c r="M67" s="84"/>
    </row>
    <row r="68" ht="25" customHeight="1" spans="1:13">
      <c r="A68" s="46"/>
      <c r="B68" s="42"/>
      <c r="C68" s="43"/>
      <c r="D68" s="48"/>
      <c r="E68" s="88" t="s">
        <v>169</v>
      </c>
      <c r="F68" s="48" t="s">
        <v>170</v>
      </c>
      <c r="G68" s="56" t="s">
        <v>171</v>
      </c>
      <c r="H68" s="60"/>
      <c r="I68" s="81">
        <v>2</v>
      </c>
      <c r="J68" s="72" t="s">
        <v>43</v>
      </c>
      <c r="K68" s="75">
        <f t="shared" si="1"/>
        <v>2</v>
      </c>
      <c r="L68" s="77"/>
      <c r="M68" s="84"/>
    </row>
    <row r="69" ht="25" customHeight="1" spans="1:13">
      <c r="A69" s="46"/>
      <c r="B69" s="42"/>
      <c r="C69" s="43"/>
      <c r="D69" s="48"/>
      <c r="E69" s="52" t="s">
        <v>657</v>
      </c>
      <c r="F69" s="54" t="s">
        <v>658</v>
      </c>
      <c r="G69" s="56" t="s">
        <v>659</v>
      </c>
      <c r="H69" s="57"/>
      <c r="I69" s="80">
        <v>2</v>
      </c>
      <c r="J69" s="72" t="s">
        <v>43</v>
      </c>
      <c r="K69" s="75">
        <f t="shared" si="1"/>
        <v>2</v>
      </c>
      <c r="L69" s="77"/>
      <c r="M69" s="84"/>
    </row>
    <row r="70" ht="25" customHeight="1" spans="1:13">
      <c r="A70" s="46"/>
      <c r="B70" s="42"/>
      <c r="C70" s="43"/>
      <c r="D70" s="48"/>
      <c r="E70" s="88" t="s">
        <v>660</v>
      </c>
      <c r="F70" s="48" t="s">
        <v>660</v>
      </c>
      <c r="G70" s="56" t="s">
        <v>661</v>
      </c>
      <c r="H70" s="57"/>
      <c r="I70" s="80">
        <v>4</v>
      </c>
      <c r="J70" s="72" t="s">
        <v>43</v>
      </c>
      <c r="K70" s="75">
        <f t="shared" si="1"/>
        <v>4</v>
      </c>
      <c r="L70" s="77"/>
      <c r="M70" s="84"/>
    </row>
    <row r="71" ht="25" customHeight="1" spans="1:13">
      <c r="A71" s="46"/>
      <c r="B71" s="42"/>
      <c r="C71" s="43"/>
      <c r="D71" s="48"/>
      <c r="E71" s="88" t="s">
        <v>233</v>
      </c>
      <c r="F71" s="48" t="s">
        <v>234</v>
      </c>
      <c r="G71" s="56" t="s">
        <v>235</v>
      </c>
      <c r="H71" s="53" t="s">
        <v>236</v>
      </c>
      <c r="I71" s="80">
        <v>10</v>
      </c>
      <c r="J71" s="72" t="s">
        <v>43</v>
      </c>
      <c r="K71" s="75">
        <f t="shared" si="1"/>
        <v>10</v>
      </c>
      <c r="L71" s="77"/>
      <c r="M71" s="84"/>
    </row>
    <row r="72" ht="25" customHeight="1" spans="1:13">
      <c r="A72" s="46"/>
      <c r="B72" s="42"/>
      <c r="C72" s="43"/>
      <c r="D72" s="48"/>
      <c r="E72" s="52" t="s">
        <v>116</v>
      </c>
      <c r="F72" s="54" t="s">
        <v>117</v>
      </c>
      <c r="G72" s="56" t="s">
        <v>118</v>
      </c>
      <c r="H72" s="57"/>
      <c r="I72" s="80">
        <v>5</v>
      </c>
      <c r="J72" s="72" t="s">
        <v>43</v>
      </c>
      <c r="K72" s="75">
        <f t="shared" si="1"/>
        <v>5</v>
      </c>
      <c r="L72" s="77"/>
      <c r="M72" s="84"/>
    </row>
    <row r="73" ht="25" customHeight="1" spans="1:13">
      <c r="A73" s="46"/>
      <c r="B73" s="42"/>
      <c r="C73" s="43"/>
      <c r="D73" s="48"/>
      <c r="E73" s="52" t="s">
        <v>222</v>
      </c>
      <c r="F73" s="54" t="s">
        <v>223</v>
      </c>
      <c r="G73" s="56" t="s">
        <v>224</v>
      </c>
      <c r="H73" s="57"/>
      <c r="I73" s="80">
        <v>8</v>
      </c>
      <c r="J73" s="72" t="s">
        <v>43</v>
      </c>
      <c r="K73" s="75">
        <f t="shared" si="1"/>
        <v>8</v>
      </c>
      <c r="L73" s="77"/>
      <c r="M73" s="84"/>
    </row>
    <row r="74" ht="25" customHeight="1" spans="1:13">
      <c r="A74" s="46"/>
      <c r="B74" s="42"/>
      <c r="C74" s="43"/>
      <c r="D74" s="48"/>
      <c r="E74" s="52" t="s">
        <v>208</v>
      </c>
      <c r="F74" s="54" t="s">
        <v>209</v>
      </c>
      <c r="G74" s="56" t="s">
        <v>210</v>
      </c>
      <c r="H74" s="57"/>
      <c r="I74" s="80">
        <v>10</v>
      </c>
      <c r="J74" s="72" t="s">
        <v>43</v>
      </c>
      <c r="K74" s="75">
        <f t="shared" si="1"/>
        <v>10</v>
      </c>
      <c r="L74" s="77"/>
      <c r="M74" s="84"/>
    </row>
    <row r="75" ht="25" customHeight="1" spans="1:13">
      <c r="A75" s="46"/>
      <c r="B75" s="42"/>
      <c r="C75" s="43"/>
      <c r="D75" s="48"/>
      <c r="E75" s="52" t="s">
        <v>211</v>
      </c>
      <c r="F75" s="54" t="s">
        <v>212</v>
      </c>
      <c r="G75" s="56" t="s">
        <v>213</v>
      </c>
      <c r="H75" s="57"/>
      <c r="I75" s="80">
        <v>15</v>
      </c>
      <c r="J75" s="72" t="s">
        <v>43</v>
      </c>
      <c r="K75" s="75">
        <f t="shared" si="1"/>
        <v>15</v>
      </c>
      <c r="L75" s="77"/>
      <c r="M75" s="84"/>
    </row>
    <row r="76" ht="25" customHeight="1" spans="1:13">
      <c r="A76" s="46"/>
      <c r="B76" s="42"/>
      <c r="C76" s="43"/>
      <c r="D76" s="48"/>
      <c r="E76" s="52" t="s">
        <v>229</v>
      </c>
      <c r="F76" s="48" t="s">
        <v>230</v>
      </c>
      <c r="G76" s="56" t="s">
        <v>231</v>
      </c>
      <c r="H76" s="57"/>
      <c r="I76" s="80">
        <v>6</v>
      </c>
      <c r="J76" s="72" t="s">
        <v>43</v>
      </c>
      <c r="K76" s="75">
        <f t="shared" si="1"/>
        <v>6</v>
      </c>
      <c r="L76" s="77"/>
      <c r="M76" s="84"/>
    </row>
    <row r="77" ht="25" customHeight="1" spans="1:13">
      <c r="A77" s="46"/>
      <c r="B77" s="42"/>
      <c r="C77" s="43"/>
      <c r="D77" s="48"/>
      <c r="E77" s="52" t="s">
        <v>191</v>
      </c>
      <c r="F77" s="54" t="s">
        <v>192</v>
      </c>
      <c r="G77" s="56" t="s">
        <v>193</v>
      </c>
      <c r="H77" s="57" t="s">
        <v>194</v>
      </c>
      <c r="I77" s="80">
        <v>2</v>
      </c>
      <c r="J77" s="72" t="s">
        <v>43</v>
      </c>
      <c r="K77" s="75">
        <f t="shared" si="1"/>
        <v>2</v>
      </c>
      <c r="L77" s="77"/>
      <c r="M77" s="84"/>
    </row>
    <row r="78" ht="25" customHeight="1" spans="1:13">
      <c r="A78" s="46"/>
      <c r="B78" s="42"/>
      <c r="C78" s="43"/>
      <c r="D78" s="48"/>
      <c r="E78" s="52" t="s">
        <v>214</v>
      </c>
      <c r="F78" s="48" t="s">
        <v>214</v>
      </c>
      <c r="G78" s="21" t="s">
        <v>215</v>
      </c>
      <c r="H78" s="57"/>
      <c r="I78" s="80">
        <v>3</v>
      </c>
      <c r="J78" s="72" t="s">
        <v>43</v>
      </c>
      <c r="K78" s="75">
        <f t="shared" si="1"/>
        <v>3</v>
      </c>
      <c r="L78" s="77"/>
      <c r="M78" s="84"/>
    </row>
    <row r="79" ht="25" customHeight="1" spans="1:13">
      <c r="A79" s="46"/>
      <c r="B79" s="42"/>
      <c r="C79" s="43"/>
      <c r="D79" s="48"/>
      <c r="E79" s="52" t="s">
        <v>225</v>
      </c>
      <c r="F79" s="54" t="s">
        <v>226</v>
      </c>
      <c r="G79" s="56" t="s">
        <v>227</v>
      </c>
      <c r="H79" s="57" t="s">
        <v>228</v>
      </c>
      <c r="I79" s="80">
        <v>8</v>
      </c>
      <c r="J79" s="72" t="s">
        <v>43</v>
      </c>
      <c r="K79" s="75">
        <f t="shared" si="1"/>
        <v>8</v>
      </c>
      <c r="L79" s="77"/>
      <c r="M79" s="84"/>
    </row>
    <row r="80" ht="25" customHeight="1" spans="1:13">
      <c r="A80" s="46"/>
      <c r="B80" s="42"/>
      <c r="C80" s="43"/>
      <c r="D80" s="48"/>
      <c r="E80" s="52" t="s">
        <v>219</v>
      </c>
      <c r="F80" s="54" t="s">
        <v>220</v>
      </c>
      <c r="G80" s="56" t="s">
        <v>221</v>
      </c>
      <c r="H80" s="57"/>
      <c r="I80" s="80">
        <v>8</v>
      </c>
      <c r="J80" s="72" t="s">
        <v>43</v>
      </c>
      <c r="K80" s="75">
        <f t="shared" si="1"/>
        <v>8</v>
      </c>
      <c r="L80" s="77"/>
      <c r="M80" s="84"/>
    </row>
    <row r="81" ht="25" customHeight="1" spans="1:13">
      <c r="A81" s="46"/>
      <c r="B81" s="42"/>
      <c r="C81" s="43"/>
      <c r="D81" s="48"/>
      <c r="E81" s="52" t="s">
        <v>216</v>
      </c>
      <c r="F81" s="54" t="s">
        <v>78</v>
      </c>
      <c r="G81" s="56" t="s">
        <v>217</v>
      </c>
      <c r="H81" s="57" t="s">
        <v>218</v>
      </c>
      <c r="I81" s="80">
        <v>8</v>
      </c>
      <c r="J81" s="72" t="s">
        <v>43</v>
      </c>
      <c r="K81" s="75">
        <f t="shared" si="1"/>
        <v>8</v>
      </c>
      <c r="L81" s="77"/>
      <c r="M81" s="84"/>
    </row>
    <row r="82" ht="25" customHeight="1" spans="1:13">
      <c r="A82" s="46"/>
      <c r="B82" s="42"/>
      <c r="C82" s="43"/>
      <c r="D82" s="48"/>
      <c r="E82" s="52" t="s">
        <v>123</v>
      </c>
      <c r="F82" s="48" t="s">
        <v>123</v>
      </c>
      <c r="G82" s="56" t="s">
        <v>124</v>
      </c>
      <c r="H82" s="57"/>
      <c r="I82" s="54">
        <v>2</v>
      </c>
      <c r="J82" s="66" t="s">
        <v>43</v>
      </c>
      <c r="K82" s="67">
        <f t="shared" si="1"/>
        <v>2</v>
      </c>
      <c r="L82" s="77"/>
      <c r="M82" s="84"/>
    </row>
    <row r="83" ht="25" customHeight="1" spans="1:13">
      <c r="A83" s="46"/>
      <c r="B83" s="42"/>
      <c r="C83" s="43"/>
      <c r="D83" s="48"/>
      <c r="E83" s="52" t="s">
        <v>404</v>
      </c>
      <c r="F83" s="54" t="s">
        <v>405</v>
      </c>
      <c r="G83" s="56" t="s">
        <v>406</v>
      </c>
      <c r="H83" s="57" t="s">
        <v>407</v>
      </c>
      <c r="I83" s="80">
        <v>8</v>
      </c>
      <c r="J83" s="72" t="s">
        <v>43</v>
      </c>
      <c r="K83" s="75">
        <f t="shared" si="1"/>
        <v>8</v>
      </c>
      <c r="L83" s="79"/>
      <c r="M83" s="84"/>
    </row>
    <row r="84" ht="25" customHeight="1" spans="1:13">
      <c r="A84" s="46"/>
      <c r="B84" s="42"/>
      <c r="C84" s="43"/>
      <c r="D84" s="38" t="s">
        <v>744</v>
      </c>
      <c r="E84" s="52" t="s">
        <v>259</v>
      </c>
      <c r="F84" s="54" t="s">
        <v>259</v>
      </c>
      <c r="G84" s="56" t="s">
        <v>260</v>
      </c>
      <c r="H84" s="57" t="s">
        <v>261</v>
      </c>
      <c r="I84" s="80">
        <v>6</v>
      </c>
      <c r="J84" s="72" t="s">
        <v>43</v>
      </c>
      <c r="K84" s="75">
        <f t="shared" si="1"/>
        <v>6</v>
      </c>
      <c r="L84" s="78">
        <f>SUM(K84:K105)</f>
        <v>98</v>
      </c>
      <c r="M84" s="84"/>
    </row>
    <row r="85" ht="25" customHeight="1" spans="1:13">
      <c r="A85" s="46"/>
      <c r="B85" s="42"/>
      <c r="C85" s="43"/>
      <c r="D85" s="85"/>
      <c r="E85" s="52" t="s">
        <v>275</v>
      </c>
      <c r="F85" s="54" t="s">
        <v>276</v>
      </c>
      <c r="G85" s="56" t="s">
        <v>277</v>
      </c>
      <c r="H85" s="57"/>
      <c r="I85" s="80">
        <v>2</v>
      </c>
      <c r="J85" s="72" t="s">
        <v>43</v>
      </c>
      <c r="K85" s="75">
        <f t="shared" si="1"/>
        <v>2</v>
      </c>
      <c r="L85" s="77"/>
      <c r="M85" s="84"/>
    </row>
    <row r="86" ht="25" customHeight="1" spans="1:13">
      <c r="A86" s="46"/>
      <c r="B86" s="42"/>
      <c r="C86" s="43"/>
      <c r="D86" s="85"/>
      <c r="E86" s="52" t="s">
        <v>273</v>
      </c>
      <c r="F86" s="54" t="s">
        <v>274</v>
      </c>
      <c r="G86" s="21" t="s">
        <v>274</v>
      </c>
      <c r="H86" s="57"/>
      <c r="I86" s="80">
        <v>1</v>
      </c>
      <c r="J86" s="72" t="s">
        <v>43</v>
      </c>
      <c r="K86" s="75">
        <f t="shared" si="1"/>
        <v>1</v>
      </c>
      <c r="L86" s="77"/>
      <c r="M86" s="84"/>
    </row>
    <row r="87" ht="25" customHeight="1" spans="1:13">
      <c r="A87" s="46"/>
      <c r="B87" s="42"/>
      <c r="C87" s="43"/>
      <c r="D87" s="85"/>
      <c r="E87" s="52" t="s">
        <v>288</v>
      </c>
      <c r="F87" s="54" t="s">
        <v>288</v>
      </c>
      <c r="G87" s="56" t="s">
        <v>289</v>
      </c>
      <c r="H87" s="57" t="s">
        <v>745</v>
      </c>
      <c r="I87" s="80">
        <v>5</v>
      </c>
      <c r="J87" s="72" t="s">
        <v>43</v>
      </c>
      <c r="K87" s="75">
        <f t="shared" si="1"/>
        <v>5</v>
      </c>
      <c r="L87" s="77"/>
      <c r="M87" s="84"/>
    </row>
    <row r="88" ht="25" customHeight="1" spans="1:13">
      <c r="A88" s="46"/>
      <c r="B88" s="42"/>
      <c r="C88" s="43"/>
      <c r="D88" s="85"/>
      <c r="E88" s="52" t="s">
        <v>256</v>
      </c>
      <c r="F88" s="54" t="s">
        <v>257</v>
      </c>
      <c r="G88" s="56" t="s">
        <v>258</v>
      </c>
      <c r="H88" s="89"/>
      <c r="I88" s="80">
        <v>10</v>
      </c>
      <c r="J88" s="72" t="s">
        <v>43</v>
      </c>
      <c r="K88" s="75">
        <f t="shared" si="1"/>
        <v>10</v>
      </c>
      <c r="L88" s="77"/>
      <c r="M88" s="84"/>
    </row>
    <row r="89" ht="25" customHeight="1" spans="1:13">
      <c r="A89" s="46"/>
      <c r="B89" s="42"/>
      <c r="C89" s="43"/>
      <c r="D89" s="85"/>
      <c r="E89" s="52" t="s">
        <v>278</v>
      </c>
      <c r="F89" s="54" t="s">
        <v>278</v>
      </c>
      <c r="G89" s="56" t="s">
        <v>279</v>
      </c>
      <c r="H89" s="57" t="s">
        <v>280</v>
      </c>
      <c r="I89" s="80">
        <v>6</v>
      </c>
      <c r="J89" s="72" t="s">
        <v>43</v>
      </c>
      <c r="K89" s="75">
        <f t="shared" si="1"/>
        <v>6</v>
      </c>
      <c r="L89" s="77"/>
      <c r="M89" s="84"/>
    </row>
    <row r="90" ht="25" customHeight="1" spans="1:13">
      <c r="A90" s="46"/>
      <c r="B90" s="42"/>
      <c r="C90" s="43"/>
      <c r="D90" s="85"/>
      <c r="E90" s="52" t="s">
        <v>402</v>
      </c>
      <c r="F90" s="54" t="s">
        <v>402</v>
      </c>
      <c r="G90" s="56" t="s">
        <v>403</v>
      </c>
      <c r="H90" s="57"/>
      <c r="I90" s="80">
        <v>10</v>
      </c>
      <c r="J90" s="72" t="s">
        <v>43</v>
      </c>
      <c r="K90" s="75">
        <f t="shared" si="1"/>
        <v>10</v>
      </c>
      <c r="L90" s="77"/>
      <c r="M90" s="84"/>
    </row>
    <row r="91" ht="25" customHeight="1" spans="1:13">
      <c r="A91" s="46"/>
      <c r="B91" s="42"/>
      <c r="C91" s="43"/>
      <c r="D91" s="85"/>
      <c r="E91" s="52" t="s">
        <v>619</v>
      </c>
      <c r="F91" s="54" t="s">
        <v>620</v>
      </c>
      <c r="G91" s="56" t="s">
        <v>621</v>
      </c>
      <c r="H91" s="57" t="s">
        <v>622</v>
      </c>
      <c r="I91" s="80">
        <v>10</v>
      </c>
      <c r="J91" s="72" t="s">
        <v>43</v>
      </c>
      <c r="K91" s="75">
        <f t="shared" si="1"/>
        <v>10</v>
      </c>
      <c r="L91" s="77"/>
      <c r="M91" s="84"/>
    </row>
    <row r="92" ht="25" customHeight="1" spans="1:13">
      <c r="A92" s="46"/>
      <c r="B92" s="42"/>
      <c r="C92" s="43"/>
      <c r="D92" s="85"/>
      <c r="E92" s="52" t="s">
        <v>439</v>
      </c>
      <c r="F92" s="54" t="s">
        <v>439</v>
      </c>
      <c r="G92" s="21" t="s">
        <v>746</v>
      </c>
      <c r="H92" s="53" t="s">
        <v>747</v>
      </c>
      <c r="I92" s="80">
        <v>10</v>
      </c>
      <c r="J92" s="72" t="s">
        <v>43</v>
      </c>
      <c r="K92" s="75">
        <f t="shared" si="1"/>
        <v>10</v>
      </c>
      <c r="L92" s="77"/>
      <c r="M92" s="84"/>
    </row>
    <row r="93" ht="25" customHeight="1" spans="1:13">
      <c r="A93" s="46"/>
      <c r="B93" s="42"/>
      <c r="C93" s="43"/>
      <c r="D93" s="85"/>
      <c r="E93" s="38" t="s">
        <v>748</v>
      </c>
      <c r="F93" s="48" t="s">
        <v>301</v>
      </c>
      <c r="G93" s="21" t="s">
        <v>302</v>
      </c>
      <c r="H93" s="53" t="s">
        <v>303</v>
      </c>
      <c r="I93" s="71">
        <v>2</v>
      </c>
      <c r="J93" s="72" t="s">
        <v>43</v>
      </c>
      <c r="K93" s="75">
        <f t="shared" si="1"/>
        <v>2</v>
      </c>
      <c r="L93" s="77"/>
      <c r="M93" s="84"/>
    </row>
    <row r="94" ht="25" customHeight="1" spans="1:13">
      <c r="A94" s="46"/>
      <c r="B94" s="42"/>
      <c r="C94" s="43"/>
      <c r="D94" s="85"/>
      <c r="E94" s="40"/>
      <c r="F94" s="48" t="s">
        <v>305</v>
      </c>
      <c r="G94" s="21" t="s">
        <v>306</v>
      </c>
      <c r="H94" s="57"/>
      <c r="I94" s="71">
        <v>5</v>
      </c>
      <c r="J94" s="72" t="s">
        <v>43</v>
      </c>
      <c r="K94" s="75">
        <f t="shared" si="1"/>
        <v>5</v>
      </c>
      <c r="L94" s="77"/>
      <c r="M94" s="84"/>
    </row>
    <row r="95" ht="25" customHeight="1" spans="1:13">
      <c r="A95" s="46"/>
      <c r="B95" s="42"/>
      <c r="C95" s="43"/>
      <c r="D95" s="85"/>
      <c r="E95" s="40"/>
      <c r="F95" s="48" t="s">
        <v>307</v>
      </c>
      <c r="G95" s="21" t="s">
        <v>308</v>
      </c>
      <c r="H95" s="57"/>
      <c r="I95" s="71">
        <v>5</v>
      </c>
      <c r="J95" s="72" t="s">
        <v>43</v>
      </c>
      <c r="K95" s="75">
        <f t="shared" si="1"/>
        <v>5</v>
      </c>
      <c r="L95" s="77"/>
      <c r="M95" s="84"/>
    </row>
    <row r="96" ht="25" customHeight="1" spans="1:13">
      <c r="A96" s="46"/>
      <c r="B96" s="42"/>
      <c r="C96" s="43"/>
      <c r="D96" s="85"/>
      <c r="E96" s="40"/>
      <c r="F96" s="48" t="s">
        <v>309</v>
      </c>
      <c r="G96" s="21" t="s">
        <v>310</v>
      </c>
      <c r="H96" s="57"/>
      <c r="I96" s="71">
        <v>3</v>
      </c>
      <c r="J96" s="72" t="s">
        <v>43</v>
      </c>
      <c r="K96" s="75">
        <f t="shared" si="1"/>
        <v>3</v>
      </c>
      <c r="L96" s="77"/>
      <c r="M96" s="84"/>
    </row>
    <row r="97" ht="25" customHeight="1" spans="1:13">
      <c r="A97" s="46"/>
      <c r="B97" s="42"/>
      <c r="C97" s="43"/>
      <c r="D97" s="85"/>
      <c r="E97" s="90"/>
      <c r="F97" s="48" t="s">
        <v>311</v>
      </c>
      <c r="G97" s="21" t="s">
        <v>312</v>
      </c>
      <c r="H97" s="57"/>
      <c r="I97" s="71">
        <v>5</v>
      </c>
      <c r="J97" s="72" t="s">
        <v>43</v>
      </c>
      <c r="K97" s="75">
        <f t="shared" si="1"/>
        <v>5</v>
      </c>
      <c r="L97" s="77"/>
      <c r="M97" s="84"/>
    </row>
    <row r="98" ht="25" customHeight="1" spans="1:13">
      <c r="A98" s="46"/>
      <c r="B98" s="42"/>
      <c r="C98" s="43"/>
      <c r="D98" s="85"/>
      <c r="E98" s="38" t="s">
        <v>749</v>
      </c>
      <c r="F98" s="48" t="s">
        <v>314</v>
      </c>
      <c r="G98" s="21" t="s">
        <v>315</v>
      </c>
      <c r="H98" s="57"/>
      <c r="I98" s="71">
        <v>1</v>
      </c>
      <c r="J98" s="72" t="s">
        <v>43</v>
      </c>
      <c r="K98" s="75">
        <f t="shared" si="1"/>
        <v>1</v>
      </c>
      <c r="L98" s="77"/>
      <c r="M98" s="84"/>
    </row>
    <row r="99" ht="25" customHeight="1" spans="1:13">
      <c r="A99" s="46"/>
      <c r="B99" s="42"/>
      <c r="C99" s="43"/>
      <c r="D99" s="85"/>
      <c r="E99" s="40"/>
      <c r="F99" s="48" t="s">
        <v>317</v>
      </c>
      <c r="G99" s="21" t="s">
        <v>318</v>
      </c>
      <c r="H99" s="57"/>
      <c r="I99" s="71">
        <v>3</v>
      </c>
      <c r="J99" s="72" t="s">
        <v>43</v>
      </c>
      <c r="K99" s="75">
        <f t="shared" si="1"/>
        <v>3</v>
      </c>
      <c r="L99" s="77"/>
      <c r="M99" s="84"/>
    </row>
    <row r="100" ht="25" customHeight="1" spans="1:13">
      <c r="A100" s="46"/>
      <c r="B100" s="42"/>
      <c r="C100" s="43"/>
      <c r="D100" s="85"/>
      <c r="E100" s="40"/>
      <c r="F100" s="48" t="s">
        <v>319</v>
      </c>
      <c r="G100" s="21" t="s">
        <v>320</v>
      </c>
      <c r="H100" s="57"/>
      <c r="I100" s="71">
        <v>3</v>
      </c>
      <c r="J100" s="72" t="s">
        <v>43</v>
      </c>
      <c r="K100" s="75">
        <f t="shared" si="1"/>
        <v>3</v>
      </c>
      <c r="L100" s="77"/>
      <c r="M100" s="84"/>
    </row>
    <row r="101" ht="25" customHeight="1" spans="1:13">
      <c r="A101" s="46"/>
      <c r="B101" s="42"/>
      <c r="C101" s="43"/>
      <c r="D101" s="85"/>
      <c r="E101" s="90"/>
      <c r="F101" s="48" t="s">
        <v>321</v>
      </c>
      <c r="G101" s="21" t="s">
        <v>322</v>
      </c>
      <c r="H101" s="57"/>
      <c r="I101" s="71">
        <v>3</v>
      </c>
      <c r="J101" s="72" t="s">
        <v>43</v>
      </c>
      <c r="K101" s="75">
        <f t="shared" si="1"/>
        <v>3</v>
      </c>
      <c r="L101" s="77"/>
      <c r="M101" s="84"/>
    </row>
    <row r="102" ht="25" customHeight="1" spans="1:13">
      <c r="A102" s="46"/>
      <c r="B102" s="42"/>
      <c r="C102" s="43"/>
      <c r="D102" s="85"/>
      <c r="E102" s="91" t="s">
        <v>323</v>
      </c>
      <c r="F102" s="48" t="s">
        <v>314</v>
      </c>
      <c r="G102" s="21" t="s">
        <v>324</v>
      </c>
      <c r="H102" s="57"/>
      <c r="I102" s="71">
        <v>2</v>
      </c>
      <c r="J102" s="72" t="s">
        <v>43</v>
      </c>
      <c r="K102" s="75">
        <f t="shared" si="1"/>
        <v>2</v>
      </c>
      <c r="L102" s="77"/>
      <c r="M102" s="84"/>
    </row>
    <row r="103" ht="25" customHeight="1" spans="1:13">
      <c r="A103" s="46"/>
      <c r="B103" s="42"/>
      <c r="C103" s="43"/>
      <c r="D103" s="85"/>
      <c r="E103" s="40"/>
      <c r="F103" s="48" t="s">
        <v>326</v>
      </c>
      <c r="G103" s="21" t="s">
        <v>327</v>
      </c>
      <c r="H103" s="57"/>
      <c r="I103" s="71">
        <v>1</v>
      </c>
      <c r="J103" s="72" t="s">
        <v>43</v>
      </c>
      <c r="K103" s="75">
        <f t="shared" si="1"/>
        <v>1</v>
      </c>
      <c r="L103" s="77"/>
      <c r="M103" s="84"/>
    </row>
    <row r="104" ht="25" customHeight="1" spans="1:13">
      <c r="A104" s="46"/>
      <c r="B104" s="42"/>
      <c r="C104" s="43"/>
      <c r="D104" s="85"/>
      <c r="E104" s="40"/>
      <c r="F104" s="48" t="s">
        <v>328</v>
      </c>
      <c r="G104" s="21" t="s">
        <v>329</v>
      </c>
      <c r="H104" s="57"/>
      <c r="I104" s="71">
        <v>3</v>
      </c>
      <c r="J104" s="72" t="s">
        <v>43</v>
      </c>
      <c r="K104" s="75">
        <f t="shared" si="1"/>
        <v>3</v>
      </c>
      <c r="L104" s="77"/>
      <c r="M104" s="84"/>
    </row>
    <row r="105" ht="25" customHeight="1" spans="1:13">
      <c r="A105" s="46"/>
      <c r="B105" s="42"/>
      <c r="C105" s="43"/>
      <c r="D105" s="86"/>
      <c r="E105" s="90"/>
      <c r="F105" s="48" t="s">
        <v>330</v>
      </c>
      <c r="G105" s="21" t="s">
        <v>331</v>
      </c>
      <c r="H105" s="53"/>
      <c r="I105" s="71">
        <v>2</v>
      </c>
      <c r="J105" s="72" t="s">
        <v>43</v>
      </c>
      <c r="K105" s="75">
        <f t="shared" si="1"/>
        <v>2</v>
      </c>
      <c r="L105" s="79"/>
      <c r="M105" s="84"/>
    </row>
    <row r="106" ht="25" customHeight="1" spans="1:13">
      <c r="A106" s="41"/>
      <c r="B106" s="42"/>
      <c r="C106" s="43"/>
      <c r="D106" s="47" t="s">
        <v>750</v>
      </c>
      <c r="E106" s="52" t="s">
        <v>350</v>
      </c>
      <c r="F106" s="54" t="s">
        <v>350</v>
      </c>
      <c r="G106" s="56" t="s">
        <v>351</v>
      </c>
      <c r="H106" s="57" t="s">
        <v>352</v>
      </c>
      <c r="I106" s="80">
        <v>15</v>
      </c>
      <c r="J106" s="72" t="s">
        <v>43</v>
      </c>
      <c r="K106" s="75">
        <f t="shared" si="1"/>
        <v>15</v>
      </c>
      <c r="L106" s="78">
        <f>SUM(K106:K107)</f>
        <v>30</v>
      </c>
      <c r="M106" s="83"/>
    </row>
    <row r="107" ht="25" customHeight="1" spans="1:13">
      <c r="A107" s="41"/>
      <c r="B107" s="42"/>
      <c r="C107" s="43"/>
      <c r="D107" s="48"/>
      <c r="E107" s="52" t="s">
        <v>376</v>
      </c>
      <c r="F107" s="54" t="s">
        <v>376</v>
      </c>
      <c r="G107" s="21" t="s">
        <v>377</v>
      </c>
      <c r="H107" s="53" t="s">
        <v>751</v>
      </c>
      <c r="I107" s="80">
        <v>15</v>
      </c>
      <c r="J107" s="72" t="s">
        <v>43</v>
      </c>
      <c r="K107" s="75">
        <f t="shared" si="1"/>
        <v>15</v>
      </c>
      <c r="L107" s="79"/>
      <c r="M107" s="83"/>
    </row>
    <row r="108" ht="25" customHeight="1" spans="1:13">
      <c r="A108" s="46"/>
      <c r="B108" s="42"/>
      <c r="C108" s="43"/>
      <c r="D108" s="47" t="s">
        <v>443</v>
      </c>
      <c r="E108" s="52" t="s">
        <v>444</v>
      </c>
      <c r="F108" s="54" t="s">
        <v>445</v>
      </c>
      <c r="G108" s="21" t="s">
        <v>445</v>
      </c>
      <c r="H108" s="57" t="s">
        <v>446</v>
      </c>
      <c r="I108" s="80">
        <v>30</v>
      </c>
      <c r="J108" s="72" t="s">
        <v>43</v>
      </c>
      <c r="K108" s="75">
        <f t="shared" si="1"/>
        <v>30</v>
      </c>
      <c r="L108" s="78">
        <f>SUM(K108:K109)</f>
        <v>50</v>
      </c>
      <c r="M108" s="84"/>
    </row>
    <row r="109" ht="25" customHeight="1" spans="1:13">
      <c r="A109" s="46"/>
      <c r="B109" s="42"/>
      <c r="C109" s="43"/>
      <c r="D109" s="48"/>
      <c r="E109" s="52" t="s">
        <v>447</v>
      </c>
      <c r="F109" s="54" t="s">
        <v>447</v>
      </c>
      <c r="G109" s="56" t="s">
        <v>448</v>
      </c>
      <c r="H109" s="57" t="s">
        <v>449</v>
      </c>
      <c r="I109" s="80">
        <v>20</v>
      </c>
      <c r="J109" s="72" t="s">
        <v>43</v>
      </c>
      <c r="K109" s="75">
        <f t="shared" si="1"/>
        <v>20</v>
      </c>
      <c r="L109" s="79"/>
      <c r="M109" s="84"/>
    </row>
    <row r="110" ht="25" customHeight="1" spans="1:13">
      <c r="A110" s="46"/>
      <c r="B110" s="37" t="s">
        <v>752</v>
      </c>
      <c r="C110" s="38" t="s">
        <v>408</v>
      </c>
      <c r="D110" s="87"/>
      <c r="E110" s="52" t="s">
        <v>431</v>
      </c>
      <c r="F110" s="48" t="s">
        <v>431</v>
      </c>
      <c r="G110" s="21" t="s">
        <v>432</v>
      </c>
      <c r="H110" s="57" t="s">
        <v>433</v>
      </c>
      <c r="I110" s="80">
        <v>6</v>
      </c>
      <c r="J110" s="72" t="s">
        <v>43</v>
      </c>
      <c r="K110" s="75">
        <f t="shared" si="1"/>
        <v>6</v>
      </c>
      <c r="L110" s="78">
        <f>SUM(K110:K119)</f>
        <v>87</v>
      </c>
      <c r="M110" s="84"/>
    </row>
    <row r="111" ht="25" customHeight="1" spans="1:13">
      <c r="A111" s="46"/>
      <c r="B111" s="69"/>
      <c r="C111" s="40"/>
      <c r="D111" s="40"/>
      <c r="E111" s="15" t="s">
        <v>81</v>
      </c>
      <c r="F111" s="48" t="s">
        <v>82</v>
      </c>
      <c r="G111" s="56" t="s">
        <v>83</v>
      </c>
      <c r="H111" s="57" t="s">
        <v>84</v>
      </c>
      <c r="I111" s="71">
        <v>6</v>
      </c>
      <c r="J111" s="72" t="s">
        <v>43</v>
      </c>
      <c r="K111" s="75">
        <f t="shared" si="1"/>
        <v>6</v>
      </c>
      <c r="L111" s="77"/>
      <c r="M111" s="84"/>
    </row>
    <row r="112" ht="25" customHeight="1" spans="1:13">
      <c r="A112" s="46"/>
      <c r="B112" s="69"/>
      <c r="C112" s="40"/>
      <c r="D112" s="40"/>
      <c r="E112" s="15" t="s">
        <v>409</v>
      </c>
      <c r="F112" s="48" t="s">
        <v>409</v>
      </c>
      <c r="G112" s="56" t="s">
        <v>410</v>
      </c>
      <c r="H112" s="57"/>
      <c r="I112" s="80">
        <v>6</v>
      </c>
      <c r="J112" s="72" t="s">
        <v>43</v>
      </c>
      <c r="K112" s="75">
        <f t="shared" si="1"/>
        <v>6</v>
      </c>
      <c r="L112" s="77"/>
      <c r="M112" s="84"/>
    </row>
    <row r="113" ht="25" customHeight="1" spans="1:13">
      <c r="A113" s="46"/>
      <c r="B113" s="69"/>
      <c r="C113" s="40"/>
      <c r="D113" s="40"/>
      <c r="E113" s="15" t="s">
        <v>411</v>
      </c>
      <c r="F113" s="48" t="s">
        <v>412</v>
      </c>
      <c r="G113" s="56" t="s">
        <v>413</v>
      </c>
      <c r="H113" s="57" t="s">
        <v>414</v>
      </c>
      <c r="I113" s="80">
        <v>6</v>
      </c>
      <c r="J113" s="72" t="s">
        <v>43</v>
      </c>
      <c r="K113" s="75">
        <f t="shared" si="1"/>
        <v>6</v>
      </c>
      <c r="L113" s="77"/>
      <c r="M113" s="84"/>
    </row>
    <row r="114" ht="25" customHeight="1" spans="1:13">
      <c r="A114" s="46"/>
      <c r="B114" s="69"/>
      <c r="C114" s="40"/>
      <c r="D114" s="40"/>
      <c r="E114" s="15" t="s">
        <v>415</v>
      </c>
      <c r="F114" s="48" t="s">
        <v>753</v>
      </c>
      <c r="G114" s="56" t="s">
        <v>417</v>
      </c>
      <c r="H114" s="57" t="s">
        <v>418</v>
      </c>
      <c r="I114" s="80">
        <v>6</v>
      </c>
      <c r="J114" s="72" t="s">
        <v>43</v>
      </c>
      <c r="K114" s="75">
        <f t="shared" si="1"/>
        <v>6</v>
      </c>
      <c r="L114" s="77"/>
      <c r="M114" s="84"/>
    </row>
    <row r="115" ht="25" customHeight="1" spans="1:13">
      <c r="A115" s="46"/>
      <c r="B115" s="69"/>
      <c r="C115" s="40"/>
      <c r="D115" s="40"/>
      <c r="E115" s="15" t="s">
        <v>419</v>
      </c>
      <c r="F115" s="86" t="s">
        <v>754</v>
      </c>
      <c r="G115" s="59" t="s">
        <v>421</v>
      </c>
      <c r="H115" s="60" t="s">
        <v>422</v>
      </c>
      <c r="I115" s="81">
        <v>15</v>
      </c>
      <c r="J115" s="72" t="s">
        <v>43</v>
      </c>
      <c r="K115" s="75">
        <f t="shared" si="1"/>
        <v>15</v>
      </c>
      <c r="L115" s="77"/>
      <c r="M115" s="84"/>
    </row>
    <row r="116" ht="25" customHeight="1" spans="1:13">
      <c r="A116" s="46"/>
      <c r="B116" s="69"/>
      <c r="C116" s="40"/>
      <c r="D116" s="40"/>
      <c r="E116" s="15" t="s">
        <v>423</v>
      </c>
      <c r="F116" s="86" t="s">
        <v>423</v>
      </c>
      <c r="G116" s="59" t="s">
        <v>425</v>
      </c>
      <c r="H116" s="60" t="s">
        <v>426</v>
      </c>
      <c r="I116" s="81">
        <v>15</v>
      </c>
      <c r="J116" s="72" t="s">
        <v>43</v>
      </c>
      <c r="K116" s="75">
        <f t="shared" si="1"/>
        <v>15</v>
      </c>
      <c r="L116" s="77"/>
      <c r="M116" s="84"/>
    </row>
    <row r="117" ht="25" customHeight="1" spans="1:13">
      <c r="A117" s="46"/>
      <c r="B117" s="69"/>
      <c r="C117" s="40"/>
      <c r="D117" s="40"/>
      <c r="E117" s="15" t="s">
        <v>427</v>
      </c>
      <c r="F117" s="48" t="s">
        <v>428</v>
      </c>
      <c r="G117" s="56" t="s">
        <v>429</v>
      </c>
      <c r="H117" s="57" t="s">
        <v>430</v>
      </c>
      <c r="I117" s="80">
        <v>10</v>
      </c>
      <c r="J117" s="72" t="s">
        <v>43</v>
      </c>
      <c r="K117" s="75">
        <f t="shared" si="1"/>
        <v>10</v>
      </c>
      <c r="L117" s="77"/>
      <c r="M117" s="84"/>
    </row>
    <row r="118" ht="25" customHeight="1" spans="1:13">
      <c r="A118" s="46"/>
      <c r="B118" s="69"/>
      <c r="C118" s="40"/>
      <c r="D118" s="40"/>
      <c r="E118" s="15" t="s">
        <v>758</v>
      </c>
      <c r="F118" s="48" t="s">
        <v>758</v>
      </c>
      <c r="G118" s="21" t="s">
        <v>759</v>
      </c>
      <c r="H118" s="53" t="s">
        <v>760</v>
      </c>
      <c r="I118" s="71">
        <v>5</v>
      </c>
      <c r="J118" s="72" t="s">
        <v>43</v>
      </c>
      <c r="K118" s="75">
        <f t="shared" si="1"/>
        <v>5</v>
      </c>
      <c r="L118" s="77"/>
      <c r="M118" s="84"/>
    </row>
    <row r="119" ht="25" customHeight="1" spans="1:13">
      <c r="A119" s="46"/>
      <c r="B119" s="69"/>
      <c r="C119" s="40"/>
      <c r="D119" s="40"/>
      <c r="E119" s="15" t="s">
        <v>85</v>
      </c>
      <c r="F119" s="48" t="s">
        <v>85</v>
      </c>
      <c r="G119" s="56" t="s">
        <v>86</v>
      </c>
      <c r="H119" s="57" t="s">
        <v>87</v>
      </c>
      <c r="I119" s="80">
        <v>12</v>
      </c>
      <c r="J119" s="72" t="s">
        <v>43</v>
      </c>
      <c r="K119" s="75">
        <f t="shared" si="1"/>
        <v>12</v>
      </c>
      <c r="L119" s="77"/>
      <c r="M119" s="84"/>
    </row>
    <row r="120" ht="25" customHeight="1" spans="1:13">
      <c r="A120" s="46"/>
      <c r="B120" s="69"/>
      <c r="C120" s="38" t="s">
        <v>761</v>
      </c>
      <c r="D120" s="87"/>
      <c r="E120" s="15" t="s">
        <v>454</v>
      </c>
      <c r="F120" s="48" t="s">
        <v>454</v>
      </c>
      <c r="G120" s="56" t="s">
        <v>455</v>
      </c>
      <c r="H120" s="57" t="s">
        <v>456</v>
      </c>
      <c r="I120" s="54">
        <v>6</v>
      </c>
      <c r="J120" s="72" t="s">
        <v>43</v>
      </c>
      <c r="K120" s="75">
        <f t="shared" si="1"/>
        <v>6</v>
      </c>
      <c r="L120" s="78">
        <f>SUM(K120:K144)</f>
        <v>169</v>
      </c>
      <c r="M120" s="84"/>
    </row>
    <row r="121" ht="25" customHeight="1" spans="1:13">
      <c r="A121" s="46"/>
      <c r="B121" s="69"/>
      <c r="C121" s="40"/>
      <c r="D121" s="40"/>
      <c r="E121" s="15" t="s">
        <v>458</v>
      </c>
      <c r="F121" s="86" t="s">
        <v>458</v>
      </c>
      <c r="G121" s="59" t="s">
        <v>459</v>
      </c>
      <c r="H121" s="60" t="s">
        <v>460</v>
      </c>
      <c r="I121" s="58">
        <v>12</v>
      </c>
      <c r="J121" s="72" t="s">
        <v>43</v>
      </c>
      <c r="K121" s="75">
        <f t="shared" si="1"/>
        <v>12</v>
      </c>
      <c r="L121" s="77"/>
      <c r="M121" s="84"/>
    </row>
    <row r="122" ht="25" customHeight="1" spans="1:13">
      <c r="A122" s="46"/>
      <c r="B122" s="69"/>
      <c r="C122" s="40"/>
      <c r="D122" s="40"/>
      <c r="E122" s="15" t="s">
        <v>462</v>
      </c>
      <c r="F122" s="86" t="s">
        <v>462</v>
      </c>
      <c r="G122" s="59" t="s">
        <v>463</v>
      </c>
      <c r="H122" s="60" t="s">
        <v>464</v>
      </c>
      <c r="I122" s="58">
        <v>6</v>
      </c>
      <c r="J122" s="72" t="s">
        <v>43</v>
      </c>
      <c r="K122" s="75">
        <f t="shared" si="1"/>
        <v>6</v>
      </c>
      <c r="L122" s="77"/>
      <c r="M122" s="84"/>
    </row>
    <row r="123" ht="25" customHeight="1" spans="1:13">
      <c r="A123" s="46"/>
      <c r="B123" s="69"/>
      <c r="C123" s="40"/>
      <c r="D123" s="40"/>
      <c r="E123" s="15" t="s">
        <v>466</v>
      </c>
      <c r="F123" s="86" t="s">
        <v>466</v>
      </c>
      <c r="G123" s="59" t="s">
        <v>467</v>
      </c>
      <c r="H123" s="60" t="s">
        <v>468</v>
      </c>
      <c r="I123" s="58">
        <v>10</v>
      </c>
      <c r="J123" s="72" t="s">
        <v>43</v>
      </c>
      <c r="K123" s="75">
        <f t="shared" si="1"/>
        <v>10</v>
      </c>
      <c r="L123" s="77"/>
      <c r="M123" s="84"/>
    </row>
    <row r="124" ht="25" customHeight="1" spans="1:13">
      <c r="A124" s="46"/>
      <c r="B124" s="69"/>
      <c r="C124" s="40"/>
      <c r="D124" s="40"/>
      <c r="E124" s="15" t="s">
        <v>470</v>
      </c>
      <c r="F124" s="48" t="s">
        <v>470</v>
      </c>
      <c r="G124" s="56" t="s">
        <v>762</v>
      </c>
      <c r="H124" s="57" t="s">
        <v>763</v>
      </c>
      <c r="I124" s="48">
        <v>9</v>
      </c>
      <c r="J124" s="72" t="s">
        <v>43</v>
      </c>
      <c r="K124" s="75">
        <f t="shared" si="1"/>
        <v>9</v>
      </c>
      <c r="L124" s="77"/>
      <c r="M124" s="84"/>
    </row>
    <row r="125" ht="17.25" customHeight="1" spans="1:13">
      <c r="A125" s="46"/>
      <c r="B125" s="69"/>
      <c r="C125" s="40"/>
      <c r="D125" s="40"/>
      <c r="E125" s="15" t="s">
        <v>496</v>
      </c>
      <c r="F125" s="48" t="s">
        <v>497</v>
      </c>
      <c r="G125" s="56" t="s">
        <v>498</v>
      </c>
      <c r="H125" s="57" t="s">
        <v>499</v>
      </c>
      <c r="I125" s="54">
        <v>3</v>
      </c>
      <c r="J125" s="72" t="s">
        <v>43</v>
      </c>
      <c r="K125" s="75">
        <f t="shared" si="1"/>
        <v>3</v>
      </c>
      <c r="L125" s="77"/>
      <c r="M125" s="84"/>
    </row>
    <row r="126" ht="17.25" customHeight="1" spans="1:13">
      <c r="A126" s="46"/>
      <c r="B126" s="69"/>
      <c r="C126" s="40"/>
      <c r="D126" s="40"/>
      <c r="E126" s="52" t="s">
        <v>764</v>
      </c>
      <c r="F126" s="48" t="s">
        <v>765</v>
      </c>
      <c r="G126" s="56" t="s">
        <v>766</v>
      </c>
      <c r="H126" s="57" t="s">
        <v>767</v>
      </c>
      <c r="I126" s="54">
        <v>10</v>
      </c>
      <c r="J126" s="72" t="s">
        <v>43</v>
      </c>
      <c r="K126" s="75">
        <f t="shared" si="1"/>
        <v>10</v>
      </c>
      <c r="L126" s="77"/>
      <c r="M126" s="84"/>
    </row>
    <row r="127" ht="17.25" customHeight="1" spans="1:13">
      <c r="A127" s="46"/>
      <c r="B127" s="69"/>
      <c r="C127" s="40"/>
      <c r="D127" s="40"/>
      <c r="E127" s="52" t="s">
        <v>768</v>
      </c>
      <c r="F127" s="48" t="s">
        <v>768</v>
      </c>
      <c r="G127" s="56" t="s">
        <v>769</v>
      </c>
      <c r="H127" s="57"/>
      <c r="I127" s="54">
        <v>8</v>
      </c>
      <c r="J127" s="72" t="s">
        <v>43</v>
      </c>
      <c r="K127" s="75">
        <f t="shared" si="1"/>
        <v>8</v>
      </c>
      <c r="L127" s="77"/>
      <c r="M127" s="84"/>
    </row>
    <row r="128" ht="17.25" customHeight="1" spans="1:13">
      <c r="A128" s="46"/>
      <c r="B128" s="69"/>
      <c r="C128" s="40"/>
      <c r="D128" s="40"/>
      <c r="E128" s="52" t="s">
        <v>770</v>
      </c>
      <c r="F128" s="48" t="s">
        <v>770</v>
      </c>
      <c r="G128" s="56" t="s">
        <v>771</v>
      </c>
      <c r="H128" s="57" t="s">
        <v>476</v>
      </c>
      <c r="I128" s="54">
        <v>6</v>
      </c>
      <c r="J128" s="72" t="s">
        <v>43</v>
      </c>
      <c r="K128" s="75">
        <f t="shared" si="1"/>
        <v>6</v>
      </c>
      <c r="L128" s="77"/>
      <c r="M128" s="84"/>
    </row>
    <row r="129" ht="17.25" customHeight="1" spans="1:13">
      <c r="A129" s="46"/>
      <c r="B129" s="69"/>
      <c r="C129" s="40"/>
      <c r="D129" s="40"/>
      <c r="E129" s="52" t="s">
        <v>772</v>
      </c>
      <c r="F129" s="48" t="s">
        <v>772</v>
      </c>
      <c r="G129" s="56" t="s">
        <v>773</v>
      </c>
      <c r="H129" s="57" t="s">
        <v>476</v>
      </c>
      <c r="I129" s="54">
        <v>6</v>
      </c>
      <c r="J129" s="72" t="s">
        <v>43</v>
      </c>
      <c r="K129" s="75">
        <f t="shared" si="1"/>
        <v>6</v>
      </c>
      <c r="L129" s="77"/>
      <c r="M129" s="84"/>
    </row>
    <row r="130" ht="17.25" customHeight="1" spans="1:13">
      <c r="A130" s="46"/>
      <c r="B130" s="69"/>
      <c r="C130" s="40"/>
      <c r="D130" s="40"/>
      <c r="E130" s="52" t="s">
        <v>774</v>
      </c>
      <c r="F130" s="48" t="s">
        <v>774</v>
      </c>
      <c r="G130" s="59" t="s">
        <v>775</v>
      </c>
      <c r="H130" s="60" t="s">
        <v>776</v>
      </c>
      <c r="I130" s="54">
        <v>6</v>
      </c>
      <c r="J130" s="72" t="s">
        <v>43</v>
      </c>
      <c r="K130" s="75">
        <f t="shared" si="1"/>
        <v>6</v>
      </c>
      <c r="L130" s="77"/>
      <c r="M130" s="84"/>
    </row>
    <row r="131" ht="17.25" customHeight="1" spans="1:13">
      <c r="A131" s="46"/>
      <c r="B131" s="69"/>
      <c r="C131" s="40"/>
      <c r="D131" s="40"/>
      <c r="E131" s="52" t="s">
        <v>777</v>
      </c>
      <c r="F131" s="48" t="s">
        <v>777</v>
      </c>
      <c r="G131" s="59" t="s">
        <v>778</v>
      </c>
      <c r="H131" s="60" t="s">
        <v>776</v>
      </c>
      <c r="I131" s="54">
        <v>6</v>
      </c>
      <c r="J131" s="72" t="s">
        <v>43</v>
      </c>
      <c r="K131" s="75">
        <f t="shared" ref="K131:K194" si="2">IF(J131&lt;&gt;0,I131,0)</f>
        <v>6</v>
      </c>
      <c r="L131" s="77"/>
      <c r="M131" s="84"/>
    </row>
    <row r="132" ht="17.25" customHeight="1" spans="1:13">
      <c r="A132" s="46"/>
      <c r="B132" s="69"/>
      <c r="C132" s="40"/>
      <c r="D132" s="40"/>
      <c r="E132" s="15" t="s">
        <v>779</v>
      </c>
      <c r="F132" s="48" t="s">
        <v>779</v>
      </c>
      <c r="G132" s="21" t="s">
        <v>780</v>
      </c>
      <c r="H132" s="53" t="s">
        <v>781</v>
      </c>
      <c r="I132" s="48">
        <v>4</v>
      </c>
      <c r="J132" s="72" t="s">
        <v>43</v>
      </c>
      <c r="K132" s="75">
        <f t="shared" si="2"/>
        <v>4</v>
      </c>
      <c r="L132" s="77"/>
      <c r="M132" s="84"/>
    </row>
    <row r="133" ht="17.25" customHeight="1" spans="1:13">
      <c r="A133" s="46"/>
      <c r="B133" s="69"/>
      <c r="C133" s="40"/>
      <c r="D133" s="40"/>
      <c r="E133" s="15" t="s">
        <v>474</v>
      </c>
      <c r="F133" s="48" t="s">
        <v>474</v>
      </c>
      <c r="G133" s="56" t="s">
        <v>475</v>
      </c>
      <c r="H133" s="57" t="s">
        <v>476</v>
      </c>
      <c r="I133" s="54">
        <v>6</v>
      </c>
      <c r="J133" s="72" t="s">
        <v>43</v>
      </c>
      <c r="K133" s="75">
        <f t="shared" si="2"/>
        <v>6</v>
      </c>
      <c r="L133" s="77"/>
      <c r="M133" s="84"/>
    </row>
    <row r="134" ht="17.25" customHeight="1" spans="1:13">
      <c r="A134" s="46"/>
      <c r="B134" s="69"/>
      <c r="C134" s="40"/>
      <c r="D134" s="40"/>
      <c r="E134" s="15" t="s">
        <v>477</v>
      </c>
      <c r="F134" s="86" t="s">
        <v>477</v>
      </c>
      <c r="G134" s="59" t="s">
        <v>478</v>
      </c>
      <c r="H134" s="60" t="s">
        <v>479</v>
      </c>
      <c r="I134" s="58">
        <v>6</v>
      </c>
      <c r="J134" s="72" t="s">
        <v>43</v>
      </c>
      <c r="K134" s="75">
        <f t="shared" si="2"/>
        <v>6</v>
      </c>
      <c r="L134" s="77"/>
      <c r="M134" s="84"/>
    </row>
    <row r="135" ht="17.25" customHeight="1" spans="1:13">
      <c r="A135" s="46"/>
      <c r="B135" s="69"/>
      <c r="C135" s="40"/>
      <c r="D135" s="40"/>
      <c r="E135" s="15" t="s">
        <v>480</v>
      </c>
      <c r="F135" s="48" t="s">
        <v>481</v>
      </c>
      <c r="G135" s="56" t="s">
        <v>482</v>
      </c>
      <c r="H135" s="57" t="s">
        <v>483</v>
      </c>
      <c r="I135" s="54">
        <v>6</v>
      </c>
      <c r="J135" s="72" t="s">
        <v>43</v>
      </c>
      <c r="K135" s="75">
        <f t="shared" si="2"/>
        <v>6</v>
      </c>
      <c r="L135" s="77"/>
      <c r="M135" s="84"/>
    </row>
    <row r="136" ht="17.25" customHeight="1" spans="1:13">
      <c r="A136" s="46"/>
      <c r="B136" s="69"/>
      <c r="C136" s="40"/>
      <c r="D136" s="40"/>
      <c r="E136" s="15" t="s">
        <v>484</v>
      </c>
      <c r="F136" s="86" t="s">
        <v>484</v>
      </c>
      <c r="G136" s="59" t="s">
        <v>485</v>
      </c>
      <c r="H136" s="60" t="s">
        <v>476</v>
      </c>
      <c r="I136" s="58">
        <v>6</v>
      </c>
      <c r="J136" s="72" t="s">
        <v>43</v>
      </c>
      <c r="K136" s="75">
        <f t="shared" si="2"/>
        <v>6</v>
      </c>
      <c r="L136" s="77"/>
      <c r="M136" s="84"/>
    </row>
    <row r="137" ht="17.25" customHeight="1" spans="1:13">
      <c r="A137" s="46"/>
      <c r="B137" s="69"/>
      <c r="C137" s="40"/>
      <c r="D137" s="40"/>
      <c r="E137" s="15" t="s">
        <v>486</v>
      </c>
      <c r="F137" s="86" t="s">
        <v>486</v>
      </c>
      <c r="G137" s="59" t="s">
        <v>487</v>
      </c>
      <c r="H137" s="60" t="s">
        <v>476</v>
      </c>
      <c r="I137" s="58">
        <v>6</v>
      </c>
      <c r="J137" s="72" t="s">
        <v>43</v>
      </c>
      <c r="K137" s="75">
        <f t="shared" si="2"/>
        <v>6</v>
      </c>
      <c r="L137" s="77"/>
      <c r="M137" s="84"/>
    </row>
    <row r="138" ht="17.25" customHeight="1" spans="1:13">
      <c r="A138" s="46"/>
      <c r="B138" s="69"/>
      <c r="C138" s="40"/>
      <c r="D138" s="40"/>
      <c r="E138" s="15" t="s">
        <v>782</v>
      </c>
      <c r="F138" s="48" t="s">
        <v>782</v>
      </c>
      <c r="G138" s="21" t="s">
        <v>783</v>
      </c>
      <c r="H138" s="60" t="s">
        <v>476</v>
      </c>
      <c r="I138" s="48">
        <v>6</v>
      </c>
      <c r="J138" s="72" t="s">
        <v>43</v>
      </c>
      <c r="K138" s="75">
        <f t="shared" si="2"/>
        <v>6</v>
      </c>
      <c r="L138" s="77"/>
      <c r="M138" s="84"/>
    </row>
    <row r="139" ht="17.25" customHeight="1" spans="1:13">
      <c r="A139" s="46"/>
      <c r="B139" s="69"/>
      <c r="C139" s="40"/>
      <c r="D139" s="40"/>
      <c r="E139" s="15" t="s">
        <v>488</v>
      </c>
      <c r="F139" s="48" t="s">
        <v>488</v>
      </c>
      <c r="G139" s="21" t="s">
        <v>784</v>
      </c>
      <c r="H139" s="53"/>
      <c r="I139" s="48">
        <v>6</v>
      </c>
      <c r="J139" s="72" t="s">
        <v>43</v>
      </c>
      <c r="K139" s="75">
        <f t="shared" si="2"/>
        <v>6</v>
      </c>
      <c r="L139" s="77"/>
      <c r="M139" s="84"/>
    </row>
    <row r="140" ht="17.25" customHeight="1" spans="1:13">
      <c r="A140" s="46"/>
      <c r="B140" s="69"/>
      <c r="C140" s="40"/>
      <c r="D140" s="40"/>
      <c r="E140" s="15" t="s">
        <v>493</v>
      </c>
      <c r="F140" s="48" t="s">
        <v>493</v>
      </c>
      <c r="G140" s="56" t="s">
        <v>494</v>
      </c>
      <c r="H140" s="57" t="s">
        <v>495</v>
      </c>
      <c r="I140" s="54">
        <v>8</v>
      </c>
      <c r="J140" s="72" t="s">
        <v>43</v>
      </c>
      <c r="K140" s="75">
        <f t="shared" si="2"/>
        <v>8</v>
      </c>
      <c r="L140" s="77"/>
      <c r="M140" s="84"/>
    </row>
    <row r="141" ht="22" customHeight="1" spans="1:13">
      <c r="A141" s="46"/>
      <c r="B141" s="69"/>
      <c r="C141" s="40"/>
      <c r="D141" s="40"/>
      <c r="E141" s="52" t="s">
        <v>785</v>
      </c>
      <c r="F141" s="48" t="s">
        <v>785</v>
      </c>
      <c r="G141" s="56"/>
      <c r="H141" s="57" t="s">
        <v>786</v>
      </c>
      <c r="I141" s="54">
        <v>10</v>
      </c>
      <c r="J141" s="66" t="s">
        <v>43</v>
      </c>
      <c r="K141" s="75">
        <f t="shared" si="2"/>
        <v>10</v>
      </c>
      <c r="L141" s="77"/>
      <c r="M141" s="84"/>
    </row>
    <row r="142" ht="17.25" customHeight="1" spans="1:13">
      <c r="A142" s="46"/>
      <c r="B142" s="69"/>
      <c r="C142" s="40"/>
      <c r="D142" s="40"/>
      <c r="E142" s="15" t="s">
        <v>490</v>
      </c>
      <c r="F142" s="48" t="s">
        <v>490</v>
      </c>
      <c r="G142" s="56" t="s">
        <v>491</v>
      </c>
      <c r="H142" s="57" t="s">
        <v>492</v>
      </c>
      <c r="I142" s="54">
        <v>8</v>
      </c>
      <c r="J142" s="72" t="s">
        <v>43</v>
      </c>
      <c r="K142" s="75">
        <f t="shared" si="2"/>
        <v>8</v>
      </c>
      <c r="L142" s="77"/>
      <c r="M142" s="84"/>
    </row>
    <row r="143" ht="17.25" customHeight="1" spans="1:13">
      <c r="A143" s="46"/>
      <c r="B143" s="69"/>
      <c r="C143" s="40"/>
      <c r="D143" s="40"/>
      <c r="E143" s="15" t="s">
        <v>787</v>
      </c>
      <c r="F143" s="48" t="s">
        <v>787</v>
      </c>
      <c r="G143" s="21" t="s">
        <v>788</v>
      </c>
      <c r="H143" s="53"/>
      <c r="I143" s="48">
        <v>4</v>
      </c>
      <c r="J143" s="72" t="s">
        <v>43</v>
      </c>
      <c r="K143" s="75">
        <f t="shared" si="2"/>
        <v>4</v>
      </c>
      <c r="L143" s="77"/>
      <c r="M143" s="84"/>
    </row>
    <row r="144" ht="17.25" customHeight="1" spans="1:13">
      <c r="A144" s="46"/>
      <c r="B144" s="69"/>
      <c r="C144" s="40"/>
      <c r="D144" s="40"/>
      <c r="E144" s="15" t="s">
        <v>789</v>
      </c>
      <c r="F144" s="48" t="s">
        <v>789</v>
      </c>
      <c r="G144" s="21" t="s">
        <v>790</v>
      </c>
      <c r="H144" s="53"/>
      <c r="I144" s="48">
        <v>5</v>
      </c>
      <c r="J144" s="72" t="s">
        <v>43</v>
      </c>
      <c r="K144" s="75">
        <f t="shared" si="2"/>
        <v>5</v>
      </c>
      <c r="L144" s="79"/>
      <c r="M144" s="84"/>
    </row>
    <row r="145" ht="25" customHeight="1" spans="1:13">
      <c r="A145" s="46"/>
      <c r="B145" s="69"/>
      <c r="C145" s="38" t="s">
        <v>542</v>
      </c>
      <c r="D145" s="87"/>
      <c r="E145" s="52" t="s">
        <v>543</v>
      </c>
      <c r="F145" s="48" t="s">
        <v>544</v>
      </c>
      <c r="G145" s="56" t="s">
        <v>545</v>
      </c>
      <c r="H145" s="57"/>
      <c r="I145" s="80">
        <v>7</v>
      </c>
      <c r="J145" s="72" t="s">
        <v>43</v>
      </c>
      <c r="K145" s="75">
        <f t="shared" si="2"/>
        <v>7</v>
      </c>
      <c r="L145" s="78">
        <f>SUM(K145:K149)</f>
        <v>29</v>
      </c>
      <c r="M145" s="84"/>
    </row>
    <row r="146" ht="25" customHeight="1" spans="1:13">
      <c r="A146" s="46"/>
      <c r="B146" s="69"/>
      <c r="C146" s="40"/>
      <c r="D146" s="40"/>
      <c r="E146" s="52" t="s">
        <v>546</v>
      </c>
      <c r="F146" s="86" t="s">
        <v>547</v>
      </c>
      <c r="G146" s="59" t="s">
        <v>548</v>
      </c>
      <c r="H146" s="60"/>
      <c r="I146" s="81">
        <v>5</v>
      </c>
      <c r="J146" s="72" t="s">
        <v>43</v>
      </c>
      <c r="K146" s="75">
        <f t="shared" si="2"/>
        <v>5</v>
      </c>
      <c r="L146" s="77"/>
      <c r="M146" s="84"/>
    </row>
    <row r="147" ht="25" customHeight="1" spans="1:13">
      <c r="A147" s="46"/>
      <c r="B147" s="69"/>
      <c r="C147" s="40"/>
      <c r="D147" s="40"/>
      <c r="E147" s="52" t="s">
        <v>853</v>
      </c>
      <c r="F147" s="48" t="s">
        <v>550</v>
      </c>
      <c r="G147" s="56" t="s">
        <v>551</v>
      </c>
      <c r="H147" s="57"/>
      <c r="I147" s="80">
        <v>7</v>
      </c>
      <c r="J147" s="72" t="s">
        <v>43</v>
      </c>
      <c r="K147" s="75">
        <f t="shared" si="2"/>
        <v>7</v>
      </c>
      <c r="L147" s="77"/>
      <c r="M147" s="84"/>
    </row>
    <row r="148" ht="25" customHeight="1" spans="1:13">
      <c r="A148" s="46"/>
      <c r="B148" s="69"/>
      <c r="C148" s="40"/>
      <c r="D148" s="40"/>
      <c r="E148" s="52" t="s">
        <v>552</v>
      </c>
      <c r="F148" s="48" t="s">
        <v>552</v>
      </c>
      <c r="G148" s="21" t="s">
        <v>554</v>
      </c>
      <c r="H148" s="53" t="s">
        <v>555</v>
      </c>
      <c r="I148" s="71">
        <v>3</v>
      </c>
      <c r="J148" s="72" t="s">
        <v>43</v>
      </c>
      <c r="K148" s="75">
        <f t="shared" si="2"/>
        <v>3</v>
      </c>
      <c r="L148" s="77"/>
      <c r="M148" s="84"/>
    </row>
    <row r="149" ht="25" customHeight="1" spans="1:13">
      <c r="A149" s="46"/>
      <c r="B149" s="69"/>
      <c r="C149" s="90"/>
      <c r="D149" s="90"/>
      <c r="E149" s="52" t="s">
        <v>556</v>
      </c>
      <c r="F149" s="86" t="s">
        <v>557</v>
      </c>
      <c r="G149" s="59" t="s">
        <v>558</v>
      </c>
      <c r="H149" s="60"/>
      <c r="I149" s="81">
        <v>7</v>
      </c>
      <c r="J149" s="72" t="s">
        <v>43</v>
      </c>
      <c r="K149" s="75">
        <f t="shared" si="2"/>
        <v>7</v>
      </c>
      <c r="L149" s="79"/>
      <c r="M149" s="84"/>
    </row>
    <row r="150" ht="25" customHeight="1" spans="1:13">
      <c r="A150" s="46"/>
      <c r="B150" s="69"/>
      <c r="C150" s="38" t="s">
        <v>791</v>
      </c>
      <c r="D150" s="92"/>
      <c r="E150" s="52" t="s">
        <v>792</v>
      </c>
      <c r="F150" s="48" t="s">
        <v>560</v>
      </c>
      <c r="G150" s="21" t="s">
        <v>561</v>
      </c>
      <c r="H150" s="53"/>
      <c r="I150" s="71">
        <v>5</v>
      </c>
      <c r="J150" s="72" t="s">
        <v>43</v>
      </c>
      <c r="K150" s="67">
        <f t="shared" si="2"/>
        <v>5</v>
      </c>
      <c r="L150" s="78">
        <f>SUM(K150:K151)</f>
        <v>5</v>
      </c>
      <c r="M150" s="84"/>
    </row>
    <row r="151" ht="25" customHeight="1" spans="1:13">
      <c r="A151" s="46"/>
      <c r="B151" s="69"/>
      <c r="C151" s="90"/>
      <c r="D151" s="92"/>
      <c r="E151" s="52" t="s">
        <v>793</v>
      </c>
      <c r="F151" s="94"/>
      <c r="G151" s="95"/>
      <c r="H151" s="53" t="s">
        <v>564</v>
      </c>
      <c r="I151" s="71">
        <v>0</v>
      </c>
      <c r="J151" s="72" t="s">
        <v>43</v>
      </c>
      <c r="K151" s="67">
        <f t="shared" si="2"/>
        <v>0</v>
      </c>
      <c r="L151" s="79"/>
      <c r="M151" s="84"/>
    </row>
    <row r="152" ht="25" customHeight="1" spans="1:13">
      <c r="A152" s="46"/>
      <c r="B152" s="69"/>
      <c r="C152" s="38" t="s">
        <v>509</v>
      </c>
      <c r="D152" s="87"/>
      <c r="E152" s="15" t="s">
        <v>515</v>
      </c>
      <c r="F152" s="48" t="s">
        <v>516</v>
      </c>
      <c r="G152" s="56" t="s">
        <v>517</v>
      </c>
      <c r="H152" s="57"/>
      <c r="I152" s="80">
        <v>5</v>
      </c>
      <c r="J152" s="72" t="s">
        <v>43</v>
      </c>
      <c r="K152" s="75">
        <f t="shared" si="2"/>
        <v>5</v>
      </c>
      <c r="L152" s="78">
        <f>SUM(K152:K161)</f>
        <v>69</v>
      </c>
      <c r="M152" s="84"/>
    </row>
    <row r="153" ht="25" customHeight="1" spans="1:13">
      <c r="A153" s="46"/>
      <c r="B153" s="69"/>
      <c r="C153" s="40"/>
      <c r="D153" s="40"/>
      <c r="E153" s="15" t="s">
        <v>518</v>
      </c>
      <c r="F153" s="86" t="s">
        <v>516</v>
      </c>
      <c r="G153" s="59" t="s">
        <v>519</v>
      </c>
      <c r="H153" s="60"/>
      <c r="I153" s="81">
        <v>8</v>
      </c>
      <c r="J153" s="72" t="s">
        <v>43</v>
      </c>
      <c r="K153" s="75">
        <f t="shared" si="2"/>
        <v>8</v>
      </c>
      <c r="L153" s="77"/>
      <c r="M153" s="84"/>
    </row>
    <row r="154" ht="25" customHeight="1" spans="1:13">
      <c r="A154" s="46"/>
      <c r="B154" s="69"/>
      <c r="C154" s="40"/>
      <c r="D154" s="40"/>
      <c r="E154" s="15" t="s">
        <v>520</v>
      </c>
      <c r="F154" s="86" t="s">
        <v>521</v>
      </c>
      <c r="G154" s="59" t="s">
        <v>522</v>
      </c>
      <c r="H154" s="60"/>
      <c r="I154" s="81">
        <v>8</v>
      </c>
      <c r="J154" s="72" t="s">
        <v>43</v>
      </c>
      <c r="K154" s="75">
        <f t="shared" si="2"/>
        <v>8</v>
      </c>
      <c r="L154" s="77"/>
      <c r="M154" s="84"/>
    </row>
    <row r="155" ht="25" customHeight="1" spans="1:13">
      <c r="A155" s="46"/>
      <c r="B155" s="69"/>
      <c r="C155" s="40"/>
      <c r="D155" s="40"/>
      <c r="E155" s="15" t="s">
        <v>523</v>
      </c>
      <c r="F155" s="86" t="s">
        <v>524</v>
      </c>
      <c r="G155" s="59" t="s">
        <v>525</v>
      </c>
      <c r="H155" s="60" t="s">
        <v>526</v>
      </c>
      <c r="I155" s="81">
        <v>3</v>
      </c>
      <c r="J155" s="72" t="s">
        <v>43</v>
      </c>
      <c r="K155" s="75">
        <f t="shared" si="2"/>
        <v>3</v>
      </c>
      <c r="L155" s="77"/>
      <c r="M155" s="84"/>
    </row>
    <row r="156" ht="25" customHeight="1" spans="1:13">
      <c r="A156" s="46"/>
      <c r="B156" s="69"/>
      <c r="C156" s="40"/>
      <c r="D156" s="40"/>
      <c r="E156" s="15" t="s">
        <v>527</v>
      </c>
      <c r="F156" s="86" t="s">
        <v>528</v>
      </c>
      <c r="G156" s="59" t="s">
        <v>529</v>
      </c>
      <c r="H156" s="60"/>
      <c r="I156" s="81">
        <v>8</v>
      </c>
      <c r="J156" s="72" t="s">
        <v>43</v>
      </c>
      <c r="K156" s="75">
        <f t="shared" si="2"/>
        <v>8</v>
      </c>
      <c r="L156" s="77"/>
      <c r="M156" s="84"/>
    </row>
    <row r="157" ht="25" customHeight="1" spans="1:13">
      <c r="A157" s="46"/>
      <c r="B157" s="69"/>
      <c r="C157" s="40"/>
      <c r="D157" s="40"/>
      <c r="E157" s="15" t="s">
        <v>530</v>
      </c>
      <c r="F157" s="86" t="s">
        <v>531</v>
      </c>
      <c r="G157" s="59" t="s">
        <v>532</v>
      </c>
      <c r="H157" s="60"/>
      <c r="I157" s="81">
        <v>4</v>
      </c>
      <c r="J157" s="72" t="s">
        <v>43</v>
      </c>
      <c r="K157" s="75">
        <f t="shared" si="2"/>
        <v>4</v>
      </c>
      <c r="L157" s="77"/>
      <c r="M157" s="84"/>
    </row>
    <row r="158" ht="25" customHeight="1" spans="1:13">
      <c r="A158" s="46"/>
      <c r="B158" s="69"/>
      <c r="C158" s="40"/>
      <c r="D158" s="40"/>
      <c r="E158" s="15" t="s">
        <v>533</v>
      </c>
      <c r="F158" s="86" t="s">
        <v>534</v>
      </c>
      <c r="G158" s="59" t="s">
        <v>535</v>
      </c>
      <c r="H158" s="60"/>
      <c r="I158" s="81">
        <v>4</v>
      </c>
      <c r="J158" s="72" t="s">
        <v>43</v>
      </c>
      <c r="K158" s="75">
        <f t="shared" si="2"/>
        <v>4</v>
      </c>
      <c r="L158" s="77"/>
      <c r="M158" s="84"/>
    </row>
    <row r="159" ht="25" customHeight="1" spans="1:13">
      <c r="A159" s="46"/>
      <c r="B159" s="69"/>
      <c r="C159" s="40"/>
      <c r="D159" s="40"/>
      <c r="E159" s="16" t="s">
        <v>794</v>
      </c>
      <c r="F159" s="86" t="s">
        <v>795</v>
      </c>
      <c r="G159" s="59" t="s">
        <v>796</v>
      </c>
      <c r="H159" s="60" t="s">
        <v>797</v>
      </c>
      <c r="I159" s="81">
        <v>20</v>
      </c>
      <c r="J159" s="72" t="s">
        <v>43</v>
      </c>
      <c r="K159" s="75">
        <f t="shared" si="2"/>
        <v>20</v>
      </c>
      <c r="L159" s="77"/>
      <c r="M159" s="84"/>
    </row>
    <row r="160" ht="25" customHeight="1" spans="1:13">
      <c r="A160" s="46"/>
      <c r="B160" s="69"/>
      <c r="C160" s="40"/>
      <c r="D160" s="40"/>
      <c r="E160" s="15" t="s">
        <v>536</v>
      </c>
      <c r="F160" s="86" t="s">
        <v>537</v>
      </c>
      <c r="G160" s="59" t="s">
        <v>538</v>
      </c>
      <c r="H160" s="60"/>
      <c r="I160" s="81">
        <v>4</v>
      </c>
      <c r="J160" s="72" t="s">
        <v>43</v>
      </c>
      <c r="K160" s="75">
        <f t="shared" si="2"/>
        <v>4</v>
      </c>
      <c r="L160" s="77"/>
      <c r="M160" s="84"/>
    </row>
    <row r="161" ht="25" customHeight="1" spans="1:13">
      <c r="A161" s="46"/>
      <c r="B161" s="69"/>
      <c r="C161" s="90"/>
      <c r="D161" s="90"/>
      <c r="E161" s="15" t="s">
        <v>539</v>
      </c>
      <c r="F161" s="86" t="s">
        <v>540</v>
      </c>
      <c r="G161" s="59" t="s">
        <v>541</v>
      </c>
      <c r="H161" s="60"/>
      <c r="I161" s="81">
        <v>5</v>
      </c>
      <c r="J161" s="72" t="s">
        <v>43</v>
      </c>
      <c r="K161" s="75">
        <f t="shared" si="2"/>
        <v>5</v>
      </c>
      <c r="L161" s="79"/>
      <c r="M161" s="84"/>
    </row>
    <row r="162" ht="25" customHeight="1" spans="1:13">
      <c r="A162" s="46"/>
      <c r="B162" s="69"/>
      <c r="C162" s="38" t="s">
        <v>500</v>
      </c>
      <c r="D162" s="87"/>
      <c r="E162" s="15" t="s">
        <v>501</v>
      </c>
      <c r="F162" s="48" t="s">
        <v>502</v>
      </c>
      <c r="G162" s="56" t="s">
        <v>503</v>
      </c>
      <c r="H162" s="57" t="s">
        <v>504</v>
      </c>
      <c r="I162" s="80">
        <v>5</v>
      </c>
      <c r="J162" s="72" t="s">
        <v>43</v>
      </c>
      <c r="K162" s="75">
        <f t="shared" si="2"/>
        <v>5</v>
      </c>
      <c r="L162" s="78">
        <f>SUM(K162:K163)</f>
        <v>10</v>
      </c>
      <c r="M162" s="84"/>
    </row>
    <row r="163" ht="25" customHeight="1" spans="1:13">
      <c r="A163" s="46"/>
      <c r="B163" s="69"/>
      <c r="C163" s="90"/>
      <c r="D163" s="90"/>
      <c r="E163" s="15" t="s">
        <v>505</v>
      </c>
      <c r="F163" s="86" t="s">
        <v>506</v>
      </c>
      <c r="G163" s="59" t="s">
        <v>507</v>
      </c>
      <c r="H163" s="60" t="s">
        <v>508</v>
      </c>
      <c r="I163" s="81">
        <v>5</v>
      </c>
      <c r="J163" s="72" t="s">
        <v>43</v>
      </c>
      <c r="K163" s="75">
        <f t="shared" si="2"/>
        <v>5</v>
      </c>
      <c r="L163" s="77"/>
      <c r="M163" s="84"/>
    </row>
    <row r="164" ht="25" customHeight="1" spans="1:13">
      <c r="A164" s="46"/>
      <c r="B164" s="69"/>
      <c r="C164" s="38" t="s">
        <v>565</v>
      </c>
      <c r="D164" s="87"/>
      <c r="E164" s="52" t="s">
        <v>566</v>
      </c>
      <c r="F164" s="48" t="s">
        <v>567</v>
      </c>
      <c r="G164" s="56" t="s">
        <v>568</v>
      </c>
      <c r="H164" s="57" t="s">
        <v>569</v>
      </c>
      <c r="I164" s="80">
        <v>3</v>
      </c>
      <c r="J164" s="72" t="s">
        <v>43</v>
      </c>
      <c r="K164" s="75">
        <f t="shared" si="2"/>
        <v>3</v>
      </c>
      <c r="L164" s="78">
        <f>SUM(K164:K166)</f>
        <v>7</v>
      </c>
      <c r="M164" s="84"/>
    </row>
    <row r="165" ht="25" customHeight="1" spans="1:13">
      <c r="A165" s="46"/>
      <c r="B165" s="69"/>
      <c r="C165" s="40"/>
      <c r="D165" s="40"/>
      <c r="E165" s="52" t="s">
        <v>570</v>
      </c>
      <c r="F165" s="86" t="s">
        <v>571</v>
      </c>
      <c r="G165" s="59" t="s">
        <v>572</v>
      </c>
      <c r="H165" s="60" t="s">
        <v>573</v>
      </c>
      <c r="I165" s="81">
        <v>3</v>
      </c>
      <c r="J165" s="72" t="s">
        <v>43</v>
      </c>
      <c r="K165" s="75">
        <f t="shared" si="2"/>
        <v>3</v>
      </c>
      <c r="L165" s="77"/>
      <c r="M165" s="84"/>
    </row>
    <row r="166" ht="25" customHeight="1" spans="1:13">
      <c r="A166" s="46"/>
      <c r="B166" s="69"/>
      <c r="C166" s="90"/>
      <c r="D166" s="90"/>
      <c r="E166" s="52" t="s">
        <v>574</v>
      </c>
      <c r="F166" s="86" t="s">
        <v>575</v>
      </c>
      <c r="G166" s="59" t="s">
        <v>576</v>
      </c>
      <c r="H166" s="60"/>
      <c r="I166" s="81">
        <v>1</v>
      </c>
      <c r="J166" s="72" t="s">
        <v>43</v>
      </c>
      <c r="K166" s="75">
        <f t="shared" si="2"/>
        <v>1</v>
      </c>
      <c r="L166" s="79"/>
      <c r="M166" s="84"/>
    </row>
    <row r="167" ht="25" customHeight="1" spans="1:13">
      <c r="A167" s="46"/>
      <c r="B167" s="69"/>
      <c r="C167" s="38" t="s">
        <v>802</v>
      </c>
      <c r="D167" s="87"/>
      <c r="E167" s="52" t="s">
        <v>582</v>
      </c>
      <c r="F167" s="48" t="s">
        <v>582</v>
      </c>
      <c r="G167" s="21" t="s">
        <v>803</v>
      </c>
      <c r="H167" s="53" t="s">
        <v>804</v>
      </c>
      <c r="I167" s="71">
        <v>8</v>
      </c>
      <c r="J167" s="72" t="s">
        <v>43</v>
      </c>
      <c r="K167" s="75">
        <f t="shared" si="2"/>
        <v>8</v>
      </c>
      <c r="L167" s="78">
        <f>SUM(K167:K168)</f>
        <v>11</v>
      </c>
      <c r="M167" s="84"/>
    </row>
    <row r="168" ht="25" customHeight="1" spans="1:13">
      <c r="A168" s="46"/>
      <c r="B168" s="69"/>
      <c r="C168" s="90"/>
      <c r="D168" s="90"/>
      <c r="E168" s="52" t="s">
        <v>585</v>
      </c>
      <c r="F168" s="48" t="s">
        <v>585</v>
      </c>
      <c r="G168" s="21" t="s">
        <v>805</v>
      </c>
      <c r="H168" s="95"/>
      <c r="I168" s="71">
        <v>3</v>
      </c>
      <c r="J168" s="72" t="s">
        <v>43</v>
      </c>
      <c r="K168" s="75">
        <f t="shared" si="2"/>
        <v>3</v>
      </c>
      <c r="L168" s="77"/>
      <c r="M168" s="84"/>
    </row>
    <row r="169" ht="25" customHeight="1" spans="1:13">
      <c r="A169" s="46"/>
      <c r="B169" s="69"/>
      <c r="C169" s="38" t="s">
        <v>38</v>
      </c>
      <c r="D169" s="87"/>
      <c r="E169" s="15" t="s">
        <v>39</v>
      </c>
      <c r="F169" s="48" t="s">
        <v>40</v>
      </c>
      <c r="G169" s="56" t="s">
        <v>41</v>
      </c>
      <c r="H169" s="57" t="s">
        <v>42</v>
      </c>
      <c r="I169" s="80">
        <v>8</v>
      </c>
      <c r="J169" s="72" t="s">
        <v>43</v>
      </c>
      <c r="K169" s="75">
        <f t="shared" si="2"/>
        <v>8</v>
      </c>
      <c r="L169" s="78">
        <f>SUM(K169:K175)</f>
        <v>33</v>
      </c>
      <c r="M169" s="84"/>
    </row>
    <row r="170" ht="25" customHeight="1" spans="1:13">
      <c r="A170" s="46"/>
      <c r="B170" s="69"/>
      <c r="C170" s="40"/>
      <c r="D170" s="40"/>
      <c r="E170" s="15" t="s">
        <v>44</v>
      </c>
      <c r="F170" s="86" t="s">
        <v>45</v>
      </c>
      <c r="G170" s="59" t="s">
        <v>46</v>
      </c>
      <c r="H170" s="60" t="s">
        <v>47</v>
      </c>
      <c r="I170" s="81">
        <v>8</v>
      </c>
      <c r="J170" s="72" t="s">
        <v>43</v>
      </c>
      <c r="K170" s="75">
        <f t="shared" si="2"/>
        <v>8</v>
      </c>
      <c r="L170" s="77"/>
      <c r="M170" s="84"/>
    </row>
    <row r="171" ht="25" customHeight="1" spans="1:13">
      <c r="A171" s="46"/>
      <c r="B171" s="69"/>
      <c r="C171" s="40"/>
      <c r="D171" s="40"/>
      <c r="E171" s="15" t="s">
        <v>48</v>
      </c>
      <c r="F171" s="86" t="s">
        <v>49</v>
      </c>
      <c r="G171" s="59" t="s">
        <v>50</v>
      </c>
      <c r="H171" s="60"/>
      <c r="I171" s="81">
        <v>5</v>
      </c>
      <c r="J171" s="72" t="s">
        <v>43</v>
      </c>
      <c r="K171" s="75">
        <f t="shared" si="2"/>
        <v>5</v>
      </c>
      <c r="L171" s="77"/>
      <c r="M171" s="84"/>
    </row>
    <row r="172" ht="25" customHeight="1" spans="1:13">
      <c r="A172" s="46"/>
      <c r="B172" s="69"/>
      <c r="C172" s="40"/>
      <c r="D172" s="40"/>
      <c r="E172" s="15" t="s">
        <v>51</v>
      </c>
      <c r="F172" s="86" t="s">
        <v>52</v>
      </c>
      <c r="G172" s="59" t="s">
        <v>53</v>
      </c>
      <c r="H172" s="60"/>
      <c r="I172" s="81">
        <v>3</v>
      </c>
      <c r="J172" s="72" t="s">
        <v>43</v>
      </c>
      <c r="K172" s="75">
        <f t="shared" si="2"/>
        <v>3</v>
      </c>
      <c r="L172" s="77"/>
      <c r="M172" s="84"/>
    </row>
    <row r="173" ht="25" customHeight="1" spans="1:13">
      <c r="A173" s="46"/>
      <c r="B173" s="69"/>
      <c r="C173" s="40"/>
      <c r="D173" s="40"/>
      <c r="E173" s="15" t="s">
        <v>54</v>
      </c>
      <c r="F173" s="86" t="s">
        <v>54</v>
      </c>
      <c r="G173" s="59" t="s">
        <v>56</v>
      </c>
      <c r="H173" s="60"/>
      <c r="I173" s="81">
        <v>5</v>
      </c>
      <c r="J173" s="72" t="s">
        <v>43</v>
      </c>
      <c r="K173" s="75">
        <f t="shared" si="2"/>
        <v>5</v>
      </c>
      <c r="L173" s="77"/>
      <c r="M173" s="84"/>
    </row>
    <row r="174" ht="25" customHeight="1" spans="1:13">
      <c r="A174" s="46"/>
      <c r="B174" s="69"/>
      <c r="C174" s="40"/>
      <c r="D174" s="40"/>
      <c r="E174" s="96" t="s">
        <v>61</v>
      </c>
      <c r="F174" s="48" t="s">
        <v>62</v>
      </c>
      <c r="G174" s="56" t="s">
        <v>63</v>
      </c>
      <c r="H174" s="57"/>
      <c r="I174" s="80">
        <v>2</v>
      </c>
      <c r="J174" s="72" t="s">
        <v>43</v>
      </c>
      <c r="K174" s="75">
        <f t="shared" si="2"/>
        <v>2</v>
      </c>
      <c r="L174" s="77"/>
      <c r="M174" s="84"/>
    </row>
    <row r="175" ht="25" customHeight="1" spans="1:13">
      <c r="A175" s="46"/>
      <c r="B175" s="69"/>
      <c r="C175" s="90"/>
      <c r="D175" s="40"/>
      <c r="E175" s="97" t="s">
        <v>849</v>
      </c>
      <c r="F175" s="48" t="s">
        <v>706</v>
      </c>
      <c r="G175" s="21" t="s">
        <v>707</v>
      </c>
      <c r="H175" s="53" t="s">
        <v>708</v>
      </c>
      <c r="I175" s="80">
        <v>2</v>
      </c>
      <c r="J175" s="72" t="s">
        <v>43</v>
      </c>
      <c r="K175" s="75">
        <f t="shared" si="2"/>
        <v>2</v>
      </c>
      <c r="L175" s="79"/>
      <c r="M175" s="84"/>
    </row>
    <row r="176" ht="25" customHeight="1" spans="1:13">
      <c r="A176" s="46"/>
      <c r="B176" s="69"/>
      <c r="C176" s="38" t="s">
        <v>64</v>
      </c>
      <c r="D176" s="87"/>
      <c r="E176" s="15" t="s">
        <v>608</v>
      </c>
      <c r="F176" s="48" t="s">
        <v>609</v>
      </c>
      <c r="G176" s="56" t="s">
        <v>610</v>
      </c>
      <c r="H176" s="57"/>
      <c r="I176" s="80">
        <v>2</v>
      </c>
      <c r="J176" s="72" t="s">
        <v>43</v>
      </c>
      <c r="K176" s="75">
        <f t="shared" si="2"/>
        <v>2</v>
      </c>
      <c r="L176" s="78">
        <f>SUM(K176:K188)</f>
        <v>29</v>
      </c>
      <c r="M176" s="84"/>
    </row>
    <row r="177" ht="25" customHeight="1" spans="1:13">
      <c r="A177" s="46"/>
      <c r="B177" s="69"/>
      <c r="C177" s="40"/>
      <c r="D177" s="40"/>
      <c r="E177" s="52" t="s">
        <v>614</v>
      </c>
      <c r="F177" s="48" t="s">
        <v>614</v>
      </c>
      <c r="G177" s="56" t="s">
        <v>615</v>
      </c>
      <c r="H177" s="57"/>
      <c r="I177" s="80">
        <v>2</v>
      </c>
      <c r="J177" s="72" t="s">
        <v>43</v>
      </c>
      <c r="K177" s="75">
        <f t="shared" si="2"/>
        <v>2</v>
      </c>
      <c r="L177" s="77"/>
      <c r="M177" s="84"/>
    </row>
    <row r="178" ht="25" customHeight="1" spans="1:13">
      <c r="A178" s="46"/>
      <c r="B178" s="69"/>
      <c r="C178" s="40"/>
      <c r="D178" s="40"/>
      <c r="E178" s="15" t="s">
        <v>395</v>
      </c>
      <c r="F178" s="86" t="s">
        <v>395</v>
      </c>
      <c r="G178" s="59" t="s">
        <v>617</v>
      </c>
      <c r="H178" s="60"/>
      <c r="I178" s="81">
        <v>5</v>
      </c>
      <c r="J178" s="72" t="s">
        <v>43</v>
      </c>
      <c r="K178" s="75">
        <f t="shared" si="2"/>
        <v>5</v>
      </c>
      <c r="L178" s="77"/>
      <c r="M178" s="84"/>
    </row>
    <row r="179" ht="25" customHeight="1" spans="1:13">
      <c r="A179" s="46"/>
      <c r="B179" s="69"/>
      <c r="C179" s="40"/>
      <c r="D179" s="40"/>
      <c r="E179" s="15" t="s">
        <v>65</v>
      </c>
      <c r="F179" s="48" t="s">
        <v>66</v>
      </c>
      <c r="G179" s="56" t="s">
        <v>67</v>
      </c>
      <c r="H179" s="57"/>
      <c r="I179" s="80">
        <v>1</v>
      </c>
      <c r="J179" s="72" t="s">
        <v>43</v>
      </c>
      <c r="K179" s="75">
        <f t="shared" si="2"/>
        <v>1</v>
      </c>
      <c r="L179" s="77"/>
      <c r="M179" s="84"/>
    </row>
    <row r="180" ht="25" customHeight="1" spans="1:13">
      <c r="A180" s="46"/>
      <c r="B180" s="69"/>
      <c r="C180" s="40"/>
      <c r="D180" s="40"/>
      <c r="E180" s="15" t="s">
        <v>68</v>
      </c>
      <c r="F180" s="86" t="s">
        <v>69</v>
      </c>
      <c r="G180" s="59" t="s">
        <v>70</v>
      </c>
      <c r="H180" s="60"/>
      <c r="I180" s="81">
        <v>2</v>
      </c>
      <c r="J180" s="72" t="s">
        <v>43</v>
      </c>
      <c r="K180" s="75">
        <f t="shared" si="2"/>
        <v>2</v>
      </c>
      <c r="L180" s="77"/>
      <c r="M180" s="84"/>
    </row>
    <row r="181" ht="25" customHeight="1" spans="1:13">
      <c r="A181" s="46"/>
      <c r="B181" s="69"/>
      <c r="C181" s="40"/>
      <c r="D181" s="40"/>
      <c r="E181" s="15" t="s">
        <v>799</v>
      </c>
      <c r="F181" s="86" t="s">
        <v>799</v>
      </c>
      <c r="G181" s="59" t="s">
        <v>800</v>
      </c>
      <c r="H181" s="60"/>
      <c r="I181" s="81">
        <v>2</v>
      </c>
      <c r="J181" s="72" t="s">
        <v>43</v>
      </c>
      <c r="K181" s="75">
        <f t="shared" si="2"/>
        <v>2</v>
      </c>
      <c r="L181" s="77"/>
      <c r="M181" s="84"/>
    </row>
    <row r="182" ht="25" customHeight="1" spans="1:13">
      <c r="A182" s="46"/>
      <c r="B182" s="69"/>
      <c r="C182" s="40"/>
      <c r="D182" s="40"/>
      <c r="E182" s="15" t="s">
        <v>77</v>
      </c>
      <c r="F182" s="48" t="s">
        <v>77</v>
      </c>
      <c r="G182" s="21"/>
      <c r="H182" s="53"/>
      <c r="I182" s="71">
        <v>0</v>
      </c>
      <c r="J182" s="72" t="s">
        <v>43</v>
      </c>
      <c r="K182" s="75">
        <f t="shared" si="2"/>
        <v>0</v>
      </c>
      <c r="L182" s="77"/>
      <c r="M182" s="84"/>
    </row>
    <row r="183" ht="25" customHeight="1" spans="1:13">
      <c r="A183" s="46"/>
      <c r="B183" s="69"/>
      <c r="C183" s="40"/>
      <c r="D183" s="40"/>
      <c r="E183" s="15" t="s">
        <v>71</v>
      </c>
      <c r="F183" s="48" t="s">
        <v>72</v>
      </c>
      <c r="G183" s="56" t="s">
        <v>73</v>
      </c>
      <c r="H183" s="57"/>
      <c r="I183" s="80">
        <v>1</v>
      </c>
      <c r="J183" s="72" t="s">
        <v>43</v>
      </c>
      <c r="K183" s="75">
        <f t="shared" si="2"/>
        <v>1</v>
      </c>
      <c r="L183" s="77"/>
      <c r="M183" s="84"/>
    </row>
    <row r="184" ht="25" customHeight="1" spans="1:13">
      <c r="A184" s="46"/>
      <c r="B184" s="69"/>
      <c r="C184" s="40"/>
      <c r="D184" s="40"/>
      <c r="E184" s="15" t="s">
        <v>58</v>
      </c>
      <c r="F184" s="48" t="s">
        <v>59</v>
      </c>
      <c r="G184" s="56" t="s">
        <v>60</v>
      </c>
      <c r="H184" s="57"/>
      <c r="I184" s="80">
        <v>2</v>
      </c>
      <c r="J184" s="72" t="s">
        <v>43</v>
      </c>
      <c r="K184" s="75">
        <f t="shared" si="2"/>
        <v>2</v>
      </c>
      <c r="L184" s="77"/>
      <c r="M184" s="84"/>
    </row>
    <row r="185" ht="25" customHeight="1" spans="1:13">
      <c r="A185" s="46"/>
      <c r="B185" s="69"/>
      <c r="C185" s="40"/>
      <c r="D185" s="40"/>
      <c r="E185" s="15" t="s">
        <v>74</v>
      </c>
      <c r="F185" s="48" t="s">
        <v>75</v>
      </c>
      <c r="G185" s="56" t="s">
        <v>76</v>
      </c>
      <c r="H185" s="57"/>
      <c r="I185" s="80">
        <v>1</v>
      </c>
      <c r="J185" s="72" t="s">
        <v>43</v>
      </c>
      <c r="K185" s="75">
        <f t="shared" si="2"/>
        <v>1</v>
      </c>
      <c r="L185" s="77"/>
      <c r="M185" s="84"/>
    </row>
    <row r="186" ht="25" customHeight="1" spans="1:13">
      <c r="A186" s="46"/>
      <c r="B186" s="69"/>
      <c r="C186" s="40"/>
      <c r="D186" s="40"/>
      <c r="E186" s="15" t="s">
        <v>88</v>
      </c>
      <c r="F186" s="48" t="s">
        <v>88</v>
      </c>
      <c r="G186" s="56" t="s">
        <v>89</v>
      </c>
      <c r="H186" s="57" t="s">
        <v>90</v>
      </c>
      <c r="I186" s="80">
        <v>8</v>
      </c>
      <c r="J186" s="72" t="s">
        <v>43</v>
      </c>
      <c r="K186" s="75">
        <f t="shared" si="2"/>
        <v>8</v>
      </c>
      <c r="L186" s="77"/>
      <c r="M186" s="84"/>
    </row>
    <row r="187" ht="25" customHeight="1" spans="1:13">
      <c r="A187" s="46"/>
      <c r="B187" s="69"/>
      <c r="C187" s="40"/>
      <c r="D187" s="40"/>
      <c r="E187" s="15" t="s">
        <v>801</v>
      </c>
      <c r="F187" s="48" t="s">
        <v>801</v>
      </c>
      <c r="G187" s="21"/>
      <c r="H187" s="53"/>
      <c r="I187" s="71">
        <v>0</v>
      </c>
      <c r="J187" s="72" t="s">
        <v>43</v>
      </c>
      <c r="K187" s="75">
        <f t="shared" si="2"/>
        <v>0</v>
      </c>
      <c r="L187" s="77"/>
      <c r="M187" s="84"/>
    </row>
    <row r="188" ht="25" customHeight="1" spans="1:13">
      <c r="A188" s="46"/>
      <c r="B188" s="69"/>
      <c r="C188" s="40"/>
      <c r="D188" s="40"/>
      <c r="E188" s="15" t="s">
        <v>450</v>
      </c>
      <c r="F188" s="48" t="s">
        <v>450</v>
      </c>
      <c r="G188" s="56" t="s">
        <v>451</v>
      </c>
      <c r="H188" s="57" t="s">
        <v>452</v>
      </c>
      <c r="I188" s="80">
        <v>3</v>
      </c>
      <c r="J188" s="72" t="s">
        <v>43</v>
      </c>
      <c r="K188" s="75">
        <f t="shared" si="2"/>
        <v>3</v>
      </c>
      <c r="L188" s="79"/>
      <c r="M188" s="84"/>
    </row>
    <row r="189" ht="25" customHeight="1" spans="1:13">
      <c r="A189" s="46"/>
      <c r="B189" s="69"/>
      <c r="C189" s="47" t="s">
        <v>641</v>
      </c>
      <c r="D189" s="93"/>
      <c r="E189" s="98" t="s">
        <v>641</v>
      </c>
      <c r="F189" s="48" t="s">
        <v>641</v>
      </c>
      <c r="G189" s="21" t="s">
        <v>806</v>
      </c>
      <c r="H189" s="53"/>
      <c r="I189" s="71">
        <v>1</v>
      </c>
      <c r="J189" s="72" t="s">
        <v>43</v>
      </c>
      <c r="K189" s="75">
        <f t="shared" si="2"/>
        <v>1</v>
      </c>
      <c r="L189" s="76">
        <f>SUM(K189:K192)</f>
        <v>23</v>
      </c>
      <c r="M189" s="84"/>
    </row>
    <row r="190" ht="25" customHeight="1" spans="1:13">
      <c r="A190" s="46"/>
      <c r="B190" s="69"/>
      <c r="C190" s="52"/>
      <c r="D190" s="92"/>
      <c r="E190" s="99" t="s">
        <v>645</v>
      </c>
      <c r="F190" s="48" t="s">
        <v>646</v>
      </c>
      <c r="G190" s="21" t="s">
        <v>647</v>
      </c>
      <c r="H190" s="53" t="s">
        <v>648</v>
      </c>
      <c r="I190" s="71">
        <v>10</v>
      </c>
      <c r="J190" s="72" t="s">
        <v>43</v>
      </c>
      <c r="K190" s="75">
        <f t="shared" si="2"/>
        <v>10</v>
      </c>
      <c r="L190" s="77"/>
      <c r="M190" s="84"/>
    </row>
    <row r="191" ht="25" customHeight="1" spans="1:13">
      <c r="A191" s="46"/>
      <c r="B191" s="69"/>
      <c r="C191" s="52"/>
      <c r="D191" s="92"/>
      <c r="E191" s="99" t="s">
        <v>649</v>
      </c>
      <c r="F191" s="48" t="s">
        <v>650</v>
      </c>
      <c r="G191" s="21" t="s">
        <v>651</v>
      </c>
      <c r="H191" s="53" t="s">
        <v>652</v>
      </c>
      <c r="I191" s="71">
        <v>2</v>
      </c>
      <c r="J191" s="72" t="s">
        <v>43</v>
      </c>
      <c r="K191" s="75">
        <f t="shared" si="2"/>
        <v>2</v>
      </c>
      <c r="L191" s="77"/>
      <c r="M191" s="84"/>
    </row>
    <row r="192" ht="25" customHeight="1" spans="1:13">
      <c r="A192" s="46"/>
      <c r="B192" s="69"/>
      <c r="C192" s="52"/>
      <c r="D192" s="92"/>
      <c r="E192" s="99" t="s">
        <v>653</v>
      </c>
      <c r="F192" s="48" t="s">
        <v>654</v>
      </c>
      <c r="G192" s="21" t="s">
        <v>655</v>
      </c>
      <c r="H192" s="53" t="s">
        <v>648</v>
      </c>
      <c r="I192" s="71">
        <v>10</v>
      </c>
      <c r="J192" s="72" t="s">
        <v>43</v>
      </c>
      <c r="K192" s="75">
        <f t="shared" si="2"/>
        <v>10</v>
      </c>
      <c r="L192" s="77"/>
      <c r="M192" s="84"/>
    </row>
    <row r="193" ht="25" customHeight="1" spans="1:13">
      <c r="A193" s="46"/>
      <c r="B193" s="69"/>
      <c r="C193" s="38" t="s">
        <v>611</v>
      </c>
      <c r="D193" s="87"/>
      <c r="E193" s="52" t="s">
        <v>807</v>
      </c>
      <c r="F193" s="48" t="s">
        <v>807</v>
      </c>
      <c r="G193" s="56"/>
      <c r="H193" s="57"/>
      <c r="I193" s="80">
        <v>0</v>
      </c>
      <c r="J193" s="72" t="s">
        <v>43</v>
      </c>
      <c r="K193" s="75">
        <f t="shared" si="2"/>
        <v>0</v>
      </c>
      <c r="L193" s="78">
        <f>SUM(K193:K197)</f>
        <v>0</v>
      </c>
      <c r="M193" s="84"/>
    </row>
    <row r="194" ht="25" customHeight="1" spans="1:13">
      <c r="A194" s="46"/>
      <c r="B194" s="69"/>
      <c r="C194" s="40"/>
      <c r="D194" s="40"/>
      <c r="E194" s="52" t="s">
        <v>808</v>
      </c>
      <c r="F194" s="48" t="s">
        <v>808</v>
      </c>
      <c r="G194" s="21"/>
      <c r="H194" s="53"/>
      <c r="I194" s="80">
        <v>0</v>
      </c>
      <c r="J194" s="72" t="s">
        <v>43</v>
      </c>
      <c r="K194" s="75">
        <f t="shared" si="2"/>
        <v>0</v>
      </c>
      <c r="L194" s="77"/>
      <c r="M194" s="84"/>
    </row>
    <row r="195" ht="25" customHeight="1" spans="1:13">
      <c r="A195" s="46"/>
      <c r="B195" s="69"/>
      <c r="C195" s="40"/>
      <c r="D195" s="40"/>
      <c r="E195" s="52" t="s">
        <v>809</v>
      </c>
      <c r="F195" s="48" t="s">
        <v>809</v>
      </c>
      <c r="G195" s="21"/>
      <c r="H195" s="53"/>
      <c r="I195" s="80">
        <v>0</v>
      </c>
      <c r="J195" s="72" t="s">
        <v>43</v>
      </c>
      <c r="K195" s="75">
        <f t="shared" ref="K195:K214" si="3">IF(J195&lt;&gt;0,I195,0)</f>
        <v>0</v>
      </c>
      <c r="L195" s="77"/>
      <c r="M195" s="84"/>
    </row>
    <row r="196" ht="25" customHeight="1" spans="1:13">
      <c r="A196" s="46"/>
      <c r="B196" s="69"/>
      <c r="C196" s="40"/>
      <c r="D196" s="40"/>
      <c r="E196" s="52" t="s">
        <v>810</v>
      </c>
      <c r="F196" s="48" t="s">
        <v>810</v>
      </c>
      <c r="G196" s="21"/>
      <c r="H196" s="53"/>
      <c r="I196" s="80">
        <v>0</v>
      </c>
      <c r="J196" s="72" t="s">
        <v>43</v>
      </c>
      <c r="K196" s="75">
        <f t="shared" si="3"/>
        <v>0</v>
      </c>
      <c r="L196" s="77"/>
      <c r="M196" s="84"/>
    </row>
    <row r="197" ht="25" customHeight="1" spans="1:13">
      <c r="A197" s="46"/>
      <c r="B197" s="69"/>
      <c r="C197" s="40"/>
      <c r="D197" s="40"/>
      <c r="E197" s="87" t="s">
        <v>854</v>
      </c>
      <c r="F197" s="48" t="s">
        <v>854</v>
      </c>
      <c r="G197" s="21"/>
      <c r="H197" s="53"/>
      <c r="I197" s="80">
        <v>0</v>
      </c>
      <c r="J197" s="72" t="s">
        <v>43</v>
      </c>
      <c r="K197" s="75">
        <f t="shared" si="3"/>
        <v>0</v>
      </c>
      <c r="L197" s="77"/>
      <c r="M197" s="84"/>
    </row>
    <row r="198" ht="25" customHeight="1" spans="1:13">
      <c r="A198" s="46"/>
      <c r="B198" s="69"/>
      <c r="C198" s="100" t="s">
        <v>811</v>
      </c>
      <c r="D198" s="48"/>
      <c r="E198" s="52" t="s">
        <v>811</v>
      </c>
      <c r="F198" s="48" t="s">
        <v>588</v>
      </c>
      <c r="G198" s="56" t="s">
        <v>589</v>
      </c>
      <c r="H198" s="57"/>
      <c r="I198" s="80">
        <v>10</v>
      </c>
      <c r="J198" s="72" t="s">
        <v>43</v>
      </c>
      <c r="K198" s="73">
        <f t="shared" si="3"/>
        <v>10</v>
      </c>
      <c r="L198" s="75">
        <f>SUM(K198:K198)</f>
        <v>10</v>
      </c>
      <c r="M198" s="84"/>
    </row>
    <row r="199" ht="25" customHeight="1" spans="1:13">
      <c r="A199" s="46"/>
      <c r="B199" s="101" t="s">
        <v>671</v>
      </c>
      <c r="C199" s="91" t="s">
        <v>671</v>
      </c>
      <c r="D199" s="38"/>
      <c r="E199" s="90" t="s">
        <v>672</v>
      </c>
      <c r="F199" s="48" t="s">
        <v>673</v>
      </c>
      <c r="G199" s="21" t="s">
        <v>674</v>
      </c>
      <c r="H199" s="53" t="s">
        <v>675</v>
      </c>
      <c r="I199" s="71">
        <v>6</v>
      </c>
      <c r="J199" s="72" t="s">
        <v>43</v>
      </c>
      <c r="K199" s="75">
        <f t="shared" si="3"/>
        <v>6</v>
      </c>
      <c r="L199" s="74">
        <f>SUM(K199:K210)</f>
        <v>62</v>
      </c>
      <c r="M199" s="84"/>
    </row>
    <row r="200" ht="25" customHeight="1" spans="1:13">
      <c r="A200" s="46"/>
      <c r="B200" s="69"/>
      <c r="C200" s="85"/>
      <c r="D200" s="40"/>
      <c r="E200" s="90" t="s">
        <v>709</v>
      </c>
      <c r="F200" s="48" t="s">
        <v>710</v>
      </c>
      <c r="G200" s="21" t="s">
        <v>711</v>
      </c>
      <c r="H200" s="53" t="s">
        <v>712</v>
      </c>
      <c r="I200" s="71">
        <v>9</v>
      </c>
      <c r="J200" s="72" t="s">
        <v>43</v>
      </c>
      <c r="K200" s="75">
        <f t="shared" si="3"/>
        <v>9</v>
      </c>
      <c r="L200" s="75"/>
      <c r="M200" s="84"/>
    </row>
    <row r="201" ht="25" customHeight="1" spans="1:13">
      <c r="A201" s="46"/>
      <c r="B201" s="69"/>
      <c r="C201" s="85"/>
      <c r="D201" s="40"/>
      <c r="E201" s="52" t="s">
        <v>676</v>
      </c>
      <c r="F201" s="48" t="s">
        <v>677</v>
      </c>
      <c r="G201" s="21" t="s">
        <v>678</v>
      </c>
      <c r="H201" s="53" t="s">
        <v>679</v>
      </c>
      <c r="I201" s="71">
        <v>5</v>
      </c>
      <c r="J201" s="72" t="s">
        <v>43</v>
      </c>
      <c r="K201" s="75">
        <f t="shared" si="3"/>
        <v>5</v>
      </c>
      <c r="L201" s="75"/>
      <c r="M201" s="84"/>
    </row>
    <row r="202" ht="25" customHeight="1" spans="1:13">
      <c r="A202" s="46"/>
      <c r="B202" s="69"/>
      <c r="C202" s="85"/>
      <c r="D202" s="40"/>
      <c r="E202" s="52" t="s">
        <v>842</v>
      </c>
      <c r="F202" s="48" t="s">
        <v>843</v>
      </c>
      <c r="G202" s="21" t="s">
        <v>844</v>
      </c>
      <c r="H202" s="53" t="s">
        <v>845</v>
      </c>
      <c r="I202" s="71">
        <v>10</v>
      </c>
      <c r="J202" s="72" t="s">
        <v>43</v>
      </c>
      <c r="K202" s="75">
        <f t="shared" si="3"/>
        <v>10</v>
      </c>
      <c r="L202" s="75"/>
      <c r="M202" s="84"/>
    </row>
    <row r="203" ht="25" customHeight="1" spans="1:13">
      <c r="A203" s="46"/>
      <c r="B203" s="69"/>
      <c r="C203" s="85"/>
      <c r="D203" s="40"/>
      <c r="E203" s="52" t="s">
        <v>680</v>
      </c>
      <c r="F203" s="48" t="s">
        <v>681</v>
      </c>
      <c r="G203" s="21" t="s">
        <v>682</v>
      </c>
      <c r="H203" s="53" t="s">
        <v>683</v>
      </c>
      <c r="I203" s="71">
        <v>5</v>
      </c>
      <c r="J203" s="72" t="s">
        <v>43</v>
      </c>
      <c r="K203" s="75">
        <f t="shared" si="3"/>
        <v>5</v>
      </c>
      <c r="L203" s="75"/>
      <c r="M203" s="84"/>
    </row>
    <row r="204" ht="25" customHeight="1" spans="1:13">
      <c r="A204" s="46"/>
      <c r="B204" s="69"/>
      <c r="C204" s="85"/>
      <c r="D204" s="40"/>
      <c r="E204" s="52" t="s">
        <v>684</v>
      </c>
      <c r="F204" s="48"/>
      <c r="G204" s="21" t="s">
        <v>685</v>
      </c>
      <c r="H204" s="53" t="s">
        <v>686</v>
      </c>
      <c r="I204" s="71">
        <v>6</v>
      </c>
      <c r="J204" s="72" t="s">
        <v>43</v>
      </c>
      <c r="K204" s="75">
        <f t="shared" si="3"/>
        <v>6</v>
      </c>
      <c r="L204" s="75"/>
      <c r="M204" s="84"/>
    </row>
    <row r="205" ht="25" customHeight="1" spans="1:13">
      <c r="A205" s="46"/>
      <c r="B205" s="69"/>
      <c r="C205" s="85"/>
      <c r="D205" s="40"/>
      <c r="E205" s="52" t="s">
        <v>687</v>
      </c>
      <c r="F205" s="48" t="s">
        <v>688</v>
      </c>
      <c r="G205" s="21" t="s">
        <v>689</v>
      </c>
      <c r="H205" s="53" t="s">
        <v>690</v>
      </c>
      <c r="I205" s="71">
        <v>3</v>
      </c>
      <c r="J205" s="72" t="s">
        <v>43</v>
      </c>
      <c r="K205" s="75">
        <f t="shared" si="3"/>
        <v>3</v>
      </c>
      <c r="L205" s="75"/>
      <c r="M205" s="84"/>
    </row>
    <row r="206" ht="25" customHeight="1" spans="1:13">
      <c r="A206" s="46"/>
      <c r="B206" s="69"/>
      <c r="C206" s="85"/>
      <c r="D206" s="40"/>
      <c r="E206" s="52" t="s">
        <v>691</v>
      </c>
      <c r="F206" s="48" t="s">
        <v>688</v>
      </c>
      <c r="G206" s="21" t="s">
        <v>692</v>
      </c>
      <c r="H206" s="53" t="s">
        <v>693</v>
      </c>
      <c r="I206" s="71">
        <v>4</v>
      </c>
      <c r="J206" s="72" t="s">
        <v>43</v>
      </c>
      <c r="K206" s="75">
        <f t="shared" si="3"/>
        <v>4</v>
      </c>
      <c r="L206" s="75"/>
      <c r="M206" s="84"/>
    </row>
    <row r="207" ht="25" customHeight="1" spans="1:13">
      <c r="A207" s="46"/>
      <c r="B207" s="69"/>
      <c r="C207" s="85"/>
      <c r="D207" s="40"/>
      <c r="E207" s="52" t="s">
        <v>694</v>
      </c>
      <c r="F207" s="48" t="s">
        <v>695</v>
      </c>
      <c r="G207" s="21" t="s">
        <v>692</v>
      </c>
      <c r="H207" s="53" t="s">
        <v>696</v>
      </c>
      <c r="I207" s="71">
        <v>3</v>
      </c>
      <c r="J207" s="72" t="s">
        <v>43</v>
      </c>
      <c r="K207" s="75">
        <f t="shared" si="3"/>
        <v>3</v>
      </c>
      <c r="L207" s="75"/>
      <c r="M207" s="84"/>
    </row>
    <row r="208" ht="25" customHeight="1" spans="1:13">
      <c r="A208" s="46"/>
      <c r="B208" s="69"/>
      <c r="C208" s="85"/>
      <c r="D208" s="40"/>
      <c r="E208" s="52" t="s">
        <v>697</v>
      </c>
      <c r="F208" s="48" t="s">
        <v>698</v>
      </c>
      <c r="G208" s="21" t="s">
        <v>699</v>
      </c>
      <c r="H208" s="53" t="s">
        <v>700</v>
      </c>
      <c r="I208" s="112"/>
      <c r="J208" s="72" t="s">
        <v>43</v>
      </c>
      <c r="K208" s="75">
        <f t="shared" si="3"/>
        <v>0</v>
      </c>
      <c r="L208" s="75"/>
      <c r="M208" s="84"/>
    </row>
    <row r="209" ht="25" customHeight="1" spans="1:13">
      <c r="A209" s="46"/>
      <c r="B209" s="69"/>
      <c r="C209" s="85"/>
      <c r="D209" s="40"/>
      <c r="E209" s="52" t="s">
        <v>701</v>
      </c>
      <c r="F209" s="48" t="s">
        <v>702</v>
      </c>
      <c r="G209" s="21" t="s">
        <v>703</v>
      </c>
      <c r="H209" s="53" t="s">
        <v>704</v>
      </c>
      <c r="I209" s="71">
        <v>8</v>
      </c>
      <c r="J209" s="72" t="s">
        <v>43</v>
      </c>
      <c r="K209" s="75">
        <f t="shared" si="3"/>
        <v>8</v>
      </c>
      <c r="L209" s="75"/>
      <c r="M209" s="84"/>
    </row>
    <row r="210" ht="25" customHeight="1" spans="1:13">
      <c r="A210" s="46"/>
      <c r="B210" s="69"/>
      <c r="C210" s="86"/>
      <c r="D210" s="90"/>
      <c r="E210" s="90" t="s">
        <v>713</v>
      </c>
      <c r="F210" s="48" t="s">
        <v>714</v>
      </c>
      <c r="G210" s="21" t="s">
        <v>715</v>
      </c>
      <c r="H210" s="53" t="s">
        <v>716</v>
      </c>
      <c r="I210" s="71">
        <v>3</v>
      </c>
      <c r="J210" s="72" t="s">
        <v>43</v>
      </c>
      <c r="K210" s="75">
        <f t="shared" si="3"/>
        <v>3</v>
      </c>
      <c r="L210" s="75"/>
      <c r="M210" s="84"/>
    </row>
    <row r="211" ht="25" customHeight="1" spans="1:13">
      <c r="A211" s="46"/>
      <c r="B211" s="102" t="s">
        <v>662</v>
      </c>
      <c r="C211" s="90" t="s">
        <v>663</v>
      </c>
      <c r="D211" s="86"/>
      <c r="E211" s="90" t="s">
        <v>663</v>
      </c>
      <c r="F211" s="48" t="s">
        <v>663</v>
      </c>
      <c r="G211" s="56" t="s">
        <v>664</v>
      </c>
      <c r="H211" s="57" t="s">
        <v>665</v>
      </c>
      <c r="I211" s="80">
        <v>3</v>
      </c>
      <c r="J211" s="72" t="s">
        <v>43</v>
      </c>
      <c r="K211" s="75">
        <f t="shared" si="3"/>
        <v>3</v>
      </c>
      <c r="L211" s="75">
        <f>SUM(K211:K211)</f>
        <v>3</v>
      </c>
      <c r="M211" s="84"/>
    </row>
    <row r="212" ht="25" customHeight="1" spans="1:13">
      <c r="A212" s="46"/>
      <c r="B212" s="100"/>
      <c r="C212" s="52" t="s">
        <v>666</v>
      </c>
      <c r="D212" s="86"/>
      <c r="E212" s="90" t="s">
        <v>666</v>
      </c>
      <c r="F212" s="86" t="s">
        <v>666</v>
      </c>
      <c r="G212" s="59" t="s">
        <v>667</v>
      </c>
      <c r="H212" s="60" t="s">
        <v>668</v>
      </c>
      <c r="I212" s="81">
        <v>3</v>
      </c>
      <c r="J212" s="72" t="s">
        <v>43</v>
      </c>
      <c r="K212" s="75">
        <f t="shared" si="3"/>
        <v>3</v>
      </c>
      <c r="L212" s="75">
        <f>SUM(K212:K212)</f>
        <v>3</v>
      </c>
      <c r="M212" s="84"/>
    </row>
    <row r="213" ht="25" customHeight="1" spans="1:13">
      <c r="A213" s="46"/>
      <c r="B213" s="100"/>
      <c r="C213" s="52" t="s">
        <v>669</v>
      </c>
      <c r="D213" s="86"/>
      <c r="E213" s="90" t="s">
        <v>669</v>
      </c>
      <c r="F213" s="86" t="s">
        <v>669</v>
      </c>
      <c r="G213" s="59" t="s">
        <v>670</v>
      </c>
      <c r="H213" s="60"/>
      <c r="I213" s="81">
        <v>2</v>
      </c>
      <c r="J213" s="72" t="s">
        <v>43</v>
      </c>
      <c r="K213" s="75">
        <f t="shared" si="3"/>
        <v>2</v>
      </c>
      <c r="L213" s="75">
        <f>SUM(K213:K213)</f>
        <v>2</v>
      </c>
      <c r="M213" s="84"/>
    </row>
    <row r="214" ht="25" customHeight="1" spans="1:13">
      <c r="A214" s="46"/>
      <c r="B214" s="100" t="s">
        <v>717</v>
      </c>
      <c r="C214" s="52" t="s">
        <v>718</v>
      </c>
      <c r="D214" s="86"/>
      <c r="E214" s="90" t="s">
        <v>719</v>
      </c>
      <c r="F214" s="86" t="s">
        <v>719</v>
      </c>
      <c r="G214" s="59" t="s">
        <v>720</v>
      </c>
      <c r="H214" s="60" t="s">
        <v>721</v>
      </c>
      <c r="I214" s="81">
        <v>5</v>
      </c>
      <c r="J214" s="72" t="s">
        <v>43</v>
      </c>
      <c r="K214" s="75">
        <f t="shared" si="3"/>
        <v>5</v>
      </c>
      <c r="L214" s="75">
        <f>SUM(K214:K214)</f>
        <v>5</v>
      </c>
      <c r="M214" s="84"/>
    </row>
    <row r="215" ht="25" customHeight="1" spans="1:13">
      <c r="A215" s="46"/>
      <c r="B215" s="103" t="s">
        <v>722</v>
      </c>
      <c r="C215" s="103"/>
      <c r="D215" s="103"/>
      <c r="E215" s="103"/>
      <c r="F215" s="105"/>
      <c r="G215" s="106"/>
      <c r="H215" s="105"/>
      <c r="I215" s="113"/>
      <c r="J215" s="103"/>
      <c r="K215" s="114"/>
      <c r="L215" s="115">
        <f>SUM(K3:K214)</f>
        <v>1045</v>
      </c>
      <c r="M215" s="84"/>
    </row>
    <row r="216" ht="25" customHeight="1" spans="1:13">
      <c r="A216" s="46"/>
      <c r="B216" s="16" t="s">
        <v>723</v>
      </c>
      <c r="C216" s="16" t="s">
        <v>724</v>
      </c>
      <c r="D216" s="16"/>
      <c r="E216" s="16"/>
      <c r="F216" s="107">
        <v>50</v>
      </c>
      <c r="G216" s="52" t="s">
        <v>725</v>
      </c>
      <c r="H216" s="48">
        <f>IF(F216&lt;=50,0,IF(F216&lt;71,INT((L215*0.05+0.99)),IF(F216&lt;91,INT((L215*0.1+0.99)),IF(F216&lt;131,INT((L215*0.15+0.99)),IF(F216&lt;1001,INT((L215*0.25+0.99)))))))</f>
        <v>0</v>
      </c>
      <c r="I216" s="112"/>
      <c r="J216" s="72" t="s">
        <v>43</v>
      </c>
      <c r="K216" s="116"/>
      <c r="L216" s="75">
        <f>H216</f>
        <v>0</v>
      </c>
      <c r="M216" s="84"/>
    </row>
    <row r="217" ht="25" customHeight="1" spans="1:13">
      <c r="A217" s="46"/>
      <c r="B217" s="103" t="s">
        <v>722</v>
      </c>
      <c r="C217" s="103"/>
      <c r="D217" s="103"/>
      <c r="E217" s="103"/>
      <c r="F217" s="105"/>
      <c r="G217" s="106"/>
      <c r="H217" s="105"/>
      <c r="I217" s="113"/>
      <c r="J217" s="103"/>
      <c r="K217" s="114"/>
      <c r="L217" s="115">
        <f>L215+L216</f>
        <v>1045</v>
      </c>
      <c r="M217" s="84"/>
    </row>
    <row r="218" ht="25" customHeight="1" spans="1:13">
      <c r="A218" s="46"/>
      <c r="B218" s="16"/>
      <c r="C218" s="16" t="s">
        <v>444</v>
      </c>
      <c r="D218" s="16"/>
      <c r="E218" s="16"/>
      <c r="F218" s="48" t="s">
        <v>726</v>
      </c>
      <c r="G218" s="52" t="s">
        <v>727</v>
      </c>
      <c r="H218" s="48" t="s">
        <v>728</v>
      </c>
      <c r="I218" s="117">
        <v>0</v>
      </c>
      <c r="J218" s="72" t="s">
        <v>43</v>
      </c>
      <c r="K218" s="116"/>
      <c r="L218" s="75">
        <f>L217*I218</f>
        <v>0</v>
      </c>
      <c r="M218" s="84"/>
    </row>
    <row r="219" ht="25" customHeight="1" spans="1:13">
      <c r="A219" s="46"/>
      <c r="B219" s="103" t="s">
        <v>722</v>
      </c>
      <c r="C219" s="103"/>
      <c r="D219" s="103"/>
      <c r="E219" s="103"/>
      <c r="F219" s="105"/>
      <c r="G219" s="106"/>
      <c r="H219" s="105"/>
      <c r="I219" s="113"/>
      <c r="J219" s="103"/>
      <c r="K219" s="114"/>
      <c r="L219" s="115">
        <f>L217+L218</f>
        <v>1045</v>
      </c>
      <c r="M219" s="84"/>
    </row>
    <row r="220" ht="25" customHeight="1" spans="1:13">
      <c r="A220" s="46"/>
      <c r="B220" s="15"/>
      <c r="C220" s="16" t="s">
        <v>729</v>
      </c>
      <c r="D220" s="16"/>
      <c r="E220" s="16"/>
      <c r="F220" s="48" t="s">
        <v>730</v>
      </c>
      <c r="G220" s="52" t="s">
        <v>731</v>
      </c>
      <c r="H220" s="48" t="s">
        <v>732</v>
      </c>
      <c r="I220" s="117">
        <v>0.1</v>
      </c>
      <c r="J220" s="72" t="s">
        <v>43</v>
      </c>
      <c r="K220" s="118">
        <v>0</v>
      </c>
      <c r="L220" s="75">
        <f>L219*K220*I220</f>
        <v>0</v>
      </c>
      <c r="M220" s="84"/>
    </row>
    <row r="221" ht="25" customHeight="1" spans="1:13">
      <c r="A221" s="46"/>
      <c r="B221" s="103" t="s">
        <v>733</v>
      </c>
      <c r="C221" s="103"/>
      <c r="D221" s="103"/>
      <c r="E221" s="103"/>
      <c r="F221" s="105"/>
      <c r="G221" s="106"/>
      <c r="H221" s="105"/>
      <c r="I221" s="113"/>
      <c r="J221" s="103"/>
      <c r="K221" s="114"/>
      <c r="L221" s="115">
        <f>SUM(L219:L220)</f>
        <v>1045</v>
      </c>
      <c r="M221" s="84"/>
    </row>
    <row r="222" ht="17.25" customHeight="1" spans="1:12">
      <c r="A222" s="104"/>
      <c r="B222" s="104"/>
      <c r="C222" s="104"/>
      <c r="D222" s="104"/>
      <c r="E222" s="104"/>
      <c r="F222" s="108"/>
      <c r="G222" s="108"/>
      <c r="H222" s="108"/>
      <c r="I222" s="119"/>
      <c r="J222" s="120"/>
      <c r="K222" s="119"/>
      <c r="L222" s="119"/>
    </row>
    <row r="223" s="1" customFormat="1" ht="17.25" customHeight="1" spans="6:12">
      <c r="F223" s="29"/>
      <c r="H223" s="109"/>
      <c r="I223" s="121"/>
      <c r="K223" s="122"/>
      <c r="L223" s="30"/>
    </row>
    <row r="224" s="1" customFormat="1" ht="17.25" customHeight="1" spans="6:12">
      <c r="F224" s="110"/>
      <c r="H224" s="30"/>
      <c r="I224" s="121"/>
      <c r="K224" s="122"/>
      <c r="L224" s="30"/>
    </row>
    <row r="225" s="1" customFormat="1" ht="17.25" customHeight="1" spans="6:12">
      <c r="F225" s="111"/>
      <c r="H225" s="30"/>
      <c r="I225" s="121"/>
      <c r="K225" s="122"/>
      <c r="L225" s="30"/>
    </row>
  </sheetData>
  <mergeCells count="66">
    <mergeCell ref="B1:L1"/>
    <mergeCell ref="B215:K215"/>
    <mergeCell ref="B217:K217"/>
    <mergeCell ref="B219:K219"/>
    <mergeCell ref="B221:K221"/>
    <mergeCell ref="B3:B109"/>
    <mergeCell ref="B110:B198"/>
    <mergeCell ref="B199:B210"/>
    <mergeCell ref="B211:B213"/>
    <mergeCell ref="C3:C109"/>
    <mergeCell ref="C110:C119"/>
    <mergeCell ref="C120:C144"/>
    <mergeCell ref="C145:C149"/>
    <mergeCell ref="C150:C151"/>
    <mergeCell ref="C152:C161"/>
    <mergeCell ref="C162:C163"/>
    <mergeCell ref="C164:C166"/>
    <mergeCell ref="C167:C168"/>
    <mergeCell ref="C169:C175"/>
    <mergeCell ref="C176:C188"/>
    <mergeCell ref="C189:C192"/>
    <mergeCell ref="C193:C197"/>
    <mergeCell ref="C199:C210"/>
    <mergeCell ref="D3:D6"/>
    <mergeCell ref="D7:D22"/>
    <mergeCell ref="D23:D37"/>
    <mergeCell ref="D38:D49"/>
    <mergeCell ref="D50:D57"/>
    <mergeCell ref="D58:D83"/>
    <mergeCell ref="D84:D105"/>
    <mergeCell ref="D106:D107"/>
    <mergeCell ref="D108:D109"/>
    <mergeCell ref="D189:D192"/>
    <mergeCell ref="D199:D210"/>
    <mergeCell ref="E9:E11"/>
    <mergeCell ref="E23:E25"/>
    <mergeCell ref="E26:E30"/>
    <mergeCell ref="E31:E34"/>
    <mergeCell ref="E39:E40"/>
    <mergeCell ref="E43:E44"/>
    <mergeCell ref="E50:E56"/>
    <mergeCell ref="E93:E97"/>
    <mergeCell ref="E98:E101"/>
    <mergeCell ref="E102:E105"/>
    <mergeCell ref="L3:L6"/>
    <mergeCell ref="L7:L22"/>
    <mergeCell ref="L23:L37"/>
    <mergeCell ref="L38:L49"/>
    <mergeCell ref="L50:L57"/>
    <mergeCell ref="L58:L83"/>
    <mergeCell ref="L84:L105"/>
    <mergeCell ref="L106:L107"/>
    <mergeCell ref="L108:L109"/>
    <mergeCell ref="L110:L119"/>
    <mergeCell ref="L120:L144"/>
    <mergeCell ref="L145:L149"/>
    <mergeCell ref="L150:L151"/>
    <mergeCell ref="L152:L161"/>
    <mergeCell ref="L162:L163"/>
    <mergeCell ref="L164:L166"/>
    <mergeCell ref="L167:L168"/>
    <mergeCell ref="L169:L175"/>
    <mergeCell ref="L176:L188"/>
    <mergeCell ref="L189:L192"/>
    <mergeCell ref="L193:L197"/>
    <mergeCell ref="L199:L21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J11"/>
  <sheetViews>
    <sheetView workbookViewId="0">
      <selection activeCell="A1" sqref="A1"/>
    </sheetView>
  </sheetViews>
  <sheetFormatPr defaultColWidth="9" defaultRowHeight="16.8"/>
  <cols>
    <col min="1" max="1" width="11.5769230769231" style="2" customWidth="1"/>
    <col min="2" max="2" width="15.5769230769231" style="2" customWidth="1"/>
    <col min="3" max="3" width="15.7211538461538" style="2" customWidth="1"/>
    <col min="4" max="4" width="30.0096153846154" style="2" customWidth="1"/>
    <col min="5" max="5" width="45.5769230769231" style="2" customWidth="1"/>
    <col min="6" max="6" width="43.5769230769231" style="2" customWidth="1"/>
    <col min="7" max="7" width="11.1442307692308" style="3" customWidth="1"/>
    <col min="8" max="8" width="9.86538461538461" style="2" customWidth="1"/>
    <col min="9" max="9" width="7.57692307692308" style="3" customWidth="1"/>
    <col min="10" max="10" width="10.2884615384615" style="3" customWidth="1"/>
  </cols>
  <sheetData>
    <row r="1" s="1" customFormat="1" ht="17.25" customHeight="1" spans="1:10">
      <c r="A1" s="4" t="s">
        <v>28</v>
      </c>
      <c r="B1" s="5" t="s">
        <v>29</v>
      </c>
      <c r="C1" s="5" t="s">
        <v>855</v>
      </c>
      <c r="D1" s="5" t="s">
        <v>856</v>
      </c>
      <c r="E1" s="5" t="s">
        <v>31</v>
      </c>
      <c r="F1" s="5" t="s">
        <v>32</v>
      </c>
      <c r="G1" s="18" t="s">
        <v>33</v>
      </c>
      <c r="H1" s="5" t="s">
        <v>34</v>
      </c>
      <c r="I1" s="18" t="s">
        <v>35</v>
      </c>
      <c r="J1" s="24" t="s">
        <v>36</v>
      </c>
    </row>
    <row r="2" ht="17.25" customHeight="1" spans="1:10">
      <c r="A2" s="6" t="s">
        <v>736</v>
      </c>
      <c r="B2" s="7" t="s">
        <v>846</v>
      </c>
      <c r="C2" s="8" t="s">
        <v>857</v>
      </c>
      <c r="D2" s="9" t="s">
        <v>858</v>
      </c>
      <c r="E2" s="9" t="s">
        <v>859</v>
      </c>
      <c r="F2" s="9" t="s">
        <v>860</v>
      </c>
      <c r="G2" s="19">
        <v>3</v>
      </c>
      <c r="H2" s="20" t="s">
        <v>43</v>
      </c>
      <c r="I2" s="25">
        <f t="shared" ref="I2:I8" si="0">IF(H2&lt;&gt;0,G2,0)</f>
        <v>3</v>
      </c>
      <c r="J2" s="26">
        <f t="shared" ref="J2:J8" si="1">SUM(I2:I2)</f>
        <v>3</v>
      </c>
    </row>
    <row r="3" ht="17.25" customHeight="1" spans="1:10">
      <c r="A3" s="10"/>
      <c r="B3" s="11"/>
      <c r="C3" s="8" t="s">
        <v>861</v>
      </c>
      <c r="D3" s="9" t="s">
        <v>862</v>
      </c>
      <c r="E3" s="9" t="s">
        <v>863</v>
      </c>
      <c r="F3" s="9" t="s">
        <v>860</v>
      </c>
      <c r="G3" s="19">
        <v>5</v>
      </c>
      <c r="H3" s="20" t="s">
        <v>43</v>
      </c>
      <c r="I3" s="25">
        <f t="shared" si="0"/>
        <v>5</v>
      </c>
      <c r="J3" s="26">
        <f t="shared" si="1"/>
        <v>5</v>
      </c>
    </row>
    <row r="4" ht="17.25" customHeight="1" spans="1:10">
      <c r="A4" s="10"/>
      <c r="B4" s="11"/>
      <c r="C4" s="8" t="s">
        <v>125</v>
      </c>
      <c r="D4" s="9" t="s">
        <v>125</v>
      </c>
      <c r="E4" s="9" t="s">
        <v>127</v>
      </c>
      <c r="F4" s="9" t="s">
        <v>128</v>
      </c>
      <c r="G4" s="19">
        <v>7</v>
      </c>
      <c r="H4" s="20" t="s">
        <v>43</v>
      </c>
      <c r="I4" s="25">
        <f t="shared" si="0"/>
        <v>7</v>
      </c>
      <c r="J4" s="26">
        <f t="shared" si="1"/>
        <v>7</v>
      </c>
    </row>
    <row r="5" ht="17.25" customHeight="1" spans="1:10">
      <c r="A5" s="10"/>
      <c r="B5" s="11"/>
      <c r="C5" s="8" t="s">
        <v>864</v>
      </c>
      <c r="D5" s="9" t="s">
        <v>865</v>
      </c>
      <c r="E5" s="9" t="s">
        <v>866</v>
      </c>
      <c r="F5" s="9" t="s">
        <v>867</v>
      </c>
      <c r="G5" s="19">
        <v>10</v>
      </c>
      <c r="H5" s="20" t="s">
        <v>43</v>
      </c>
      <c r="I5" s="25">
        <f t="shared" si="0"/>
        <v>10</v>
      </c>
      <c r="J5" s="26">
        <f t="shared" si="1"/>
        <v>10</v>
      </c>
    </row>
    <row r="6" ht="17.25" customHeight="1" spans="1:10">
      <c r="A6" s="10"/>
      <c r="B6" s="11"/>
      <c r="C6" s="8" t="s">
        <v>868</v>
      </c>
      <c r="D6" s="9" t="s">
        <v>869</v>
      </c>
      <c r="E6" s="9" t="s">
        <v>870</v>
      </c>
      <c r="F6" s="9" t="s">
        <v>871</v>
      </c>
      <c r="G6" s="19">
        <v>32</v>
      </c>
      <c r="H6" s="20" t="s">
        <v>43</v>
      </c>
      <c r="I6" s="25">
        <f t="shared" si="0"/>
        <v>32</v>
      </c>
      <c r="J6" s="26">
        <f t="shared" si="1"/>
        <v>32</v>
      </c>
    </row>
    <row r="7" ht="17.25" customHeight="1" spans="1:10">
      <c r="A7" s="10"/>
      <c r="B7" s="11"/>
      <c r="C7" s="8" t="s">
        <v>872</v>
      </c>
      <c r="D7" s="9" t="s">
        <v>873</v>
      </c>
      <c r="E7" s="21" t="s">
        <v>874</v>
      </c>
      <c r="F7" s="9" t="s">
        <v>875</v>
      </c>
      <c r="G7" s="19">
        <v>15</v>
      </c>
      <c r="H7" s="20" t="s">
        <v>43</v>
      </c>
      <c r="I7" s="25">
        <f t="shared" si="0"/>
        <v>15</v>
      </c>
      <c r="J7" s="26">
        <f t="shared" si="1"/>
        <v>15</v>
      </c>
    </row>
    <row r="8" ht="17.25" customHeight="1" spans="1:10">
      <c r="A8" s="12"/>
      <c r="B8" s="13"/>
      <c r="C8" s="8" t="s">
        <v>876</v>
      </c>
      <c r="D8" s="9" t="s">
        <v>877</v>
      </c>
      <c r="E8" s="9" t="s">
        <v>878</v>
      </c>
      <c r="F8" s="9" t="s">
        <v>294</v>
      </c>
      <c r="G8" s="19">
        <v>10</v>
      </c>
      <c r="H8" s="20" t="s">
        <v>43</v>
      </c>
      <c r="I8" s="25">
        <f t="shared" si="0"/>
        <v>10</v>
      </c>
      <c r="J8" s="26">
        <f t="shared" si="1"/>
        <v>10</v>
      </c>
    </row>
    <row r="9" ht="17.25" customHeight="1" spans="1:10">
      <c r="A9" s="14" t="s">
        <v>722</v>
      </c>
      <c r="B9" s="14"/>
      <c r="C9" s="14"/>
      <c r="D9" s="14"/>
      <c r="E9" s="14"/>
      <c r="F9" s="14"/>
      <c r="G9" s="22"/>
      <c r="H9" s="14"/>
      <c r="I9" s="22"/>
      <c r="J9" s="27">
        <f>SUM(I2:I8)</f>
        <v>82</v>
      </c>
    </row>
    <row r="10" ht="17.25" customHeight="1" spans="1:10">
      <c r="A10" s="15"/>
      <c r="B10" s="16" t="s">
        <v>729</v>
      </c>
      <c r="C10" s="17"/>
      <c r="D10" s="9" t="s">
        <v>730</v>
      </c>
      <c r="E10" s="9" t="s">
        <v>879</v>
      </c>
      <c r="F10" s="9" t="s">
        <v>880</v>
      </c>
      <c r="G10" s="23">
        <v>1</v>
      </c>
      <c r="H10" s="20" t="s">
        <v>43</v>
      </c>
      <c r="I10" s="25">
        <f>IF(G10&lt;=5,0,IF(G10&lt;11,INT((J9*0.2)),IF(G10&lt;21,INT((J9*0.4)),IF(G10&lt;51,INT((J9*0.6))))))</f>
        <v>0</v>
      </c>
      <c r="J10" s="25">
        <f>IF(H10&lt;&gt;0,I10,0)</f>
        <v>0</v>
      </c>
    </row>
    <row r="11" ht="17.25" customHeight="1" spans="1:10">
      <c r="A11" s="14" t="s">
        <v>733</v>
      </c>
      <c r="B11" s="14"/>
      <c r="C11" s="14"/>
      <c r="D11" s="14"/>
      <c r="E11" s="14"/>
      <c r="F11" s="14"/>
      <c r="G11" s="22"/>
      <c r="H11" s="14"/>
      <c r="I11" s="22"/>
      <c r="J11" s="22">
        <f>SUM(J9:J10)</f>
        <v>82</v>
      </c>
    </row>
  </sheetData>
  <mergeCells count="4">
    <mergeCell ref="A9:I9"/>
    <mergeCell ref="A11:I11"/>
    <mergeCell ref="A2:A8"/>
    <mergeCell ref="B2:B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7</vt:i4>
      </vt:variant>
    </vt:vector>
  </HeadingPairs>
  <TitlesOfParts>
    <vt:vector size="7" baseType="lpstr">
      <vt:lpstr>实施估算工具使用说明 </vt:lpstr>
      <vt:lpstr>模块报价 </vt:lpstr>
      <vt:lpstr>【NEW】金蝶AI超级套件</vt:lpstr>
      <vt:lpstr>套件报价-AI星空基础套件</vt:lpstr>
      <vt:lpstr>套件报价-AI星空专业套件</vt:lpstr>
      <vt:lpstr>套件报价-AI星空高级套件</vt:lpstr>
      <vt:lpstr>在线交付包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MJLKevin</cp:lastModifiedBy>
  <dcterms:created xsi:type="dcterms:W3CDTF">2026-03-29T14:34:05Z</dcterms:created>
  <dcterms:modified xsi:type="dcterms:W3CDTF">2026-03-29T14:58:13Z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B7EACDF20637714AC2CAC8698E4DED60_42</vt:lpwstr>
  </property>
</Properties>
</file>